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D18A33E-A5B3-4EAB-94E1-4484C674F7D9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XƯỞNG" sheetId="1" r:id="rId1"/>
    <sheet name="VĂN PHÒNG" sheetId="2" r:id="rId2"/>
    <sheet name="MARKETING" sheetId="3" r:id="rId3"/>
    <sheet name="MỸ THO" sheetId="4" r:id="rId4"/>
    <sheet name="CẦN THƠ" sheetId="5" r:id="rId5"/>
  </sheets>
  <definedNames>
    <definedName name="_xlnm._FilterDatabase" localSheetId="0" hidden="1">XƯỞNG!$A$2:$J$108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1" i="5" l="1"/>
  <c r="J61" i="5" s="1"/>
  <c r="E61" i="5"/>
  <c r="J60" i="5"/>
  <c r="I60" i="5"/>
  <c r="E60" i="5"/>
  <c r="J59" i="5"/>
  <c r="I59" i="5"/>
  <c r="E59" i="5"/>
  <c r="I58" i="5"/>
  <c r="J58" i="5" s="1"/>
  <c r="E58" i="5"/>
  <c r="I56" i="5"/>
  <c r="J56" i="5" s="1"/>
  <c r="E56" i="5"/>
  <c r="J55" i="5"/>
  <c r="I55" i="5"/>
  <c r="E55" i="5"/>
  <c r="J54" i="5"/>
  <c r="I54" i="5"/>
  <c r="E54" i="5"/>
  <c r="I53" i="5"/>
  <c r="J53" i="5" s="1"/>
  <c r="E53" i="5"/>
  <c r="I52" i="5"/>
  <c r="J52" i="5" s="1"/>
  <c r="E52" i="5"/>
  <c r="J51" i="5"/>
  <c r="I51" i="5"/>
  <c r="E51" i="5"/>
  <c r="J50" i="5"/>
  <c r="I50" i="5"/>
  <c r="E50" i="5"/>
  <c r="I49" i="5"/>
  <c r="J49" i="5" s="1"/>
  <c r="E49" i="5"/>
  <c r="I48" i="5"/>
  <c r="J48" i="5" s="1"/>
  <c r="E48" i="5"/>
  <c r="J47" i="5"/>
  <c r="I47" i="5"/>
  <c r="E47" i="5"/>
  <c r="J45" i="5"/>
  <c r="I45" i="5"/>
  <c r="E45" i="5"/>
  <c r="I44" i="5"/>
  <c r="J44" i="5" s="1"/>
  <c r="E44" i="5"/>
  <c r="I43" i="5"/>
  <c r="J43" i="5" s="1"/>
  <c r="E43" i="5"/>
  <c r="J42" i="5"/>
  <c r="I42" i="5"/>
  <c r="E42" i="5"/>
  <c r="J40" i="5"/>
  <c r="I40" i="5"/>
  <c r="E40" i="5"/>
  <c r="I39" i="5"/>
  <c r="J39" i="5" s="1"/>
  <c r="E39" i="5"/>
  <c r="I38" i="5"/>
  <c r="J38" i="5" s="1"/>
  <c r="E38" i="5"/>
  <c r="J37" i="5"/>
  <c r="I37" i="5"/>
  <c r="E37" i="5"/>
  <c r="J36" i="5"/>
  <c r="I36" i="5"/>
  <c r="E36" i="5"/>
  <c r="I35" i="5"/>
  <c r="J35" i="5" s="1"/>
  <c r="E35" i="5"/>
  <c r="I34" i="5"/>
  <c r="J34" i="5" s="1"/>
  <c r="E34" i="5"/>
  <c r="J33" i="5"/>
  <c r="I33" i="5"/>
  <c r="E33" i="5"/>
  <c r="J32" i="5"/>
  <c r="I32" i="5"/>
  <c r="E32" i="5"/>
  <c r="I31" i="5"/>
  <c r="J31" i="5" s="1"/>
  <c r="E31" i="5"/>
  <c r="I30" i="5"/>
  <c r="E30" i="5"/>
  <c r="I29" i="5"/>
  <c r="E29" i="5"/>
  <c r="I28" i="5"/>
  <c r="I27" i="5"/>
  <c r="E27" i="5"/>
  <c r="J26" i="5"/>
  <c r="I26" i="5"/>
  <c r="E26" i="5"/>
  <c r="J25" i="5"/>
  <c r="I25" i="5"/>
  <c r="E25" i="5"/>
  <c r="I24" i="5"/>
  <c r="J24" i="5" s="1"/>
  <c r="E24" i="5"/>
  <c r="I23" i="5"/>
  <c r="J23" i="5" s="1"/>
  <c r="E23" i="5"/>
  <c r="J22" i="5"/>
  <c r="I22" i="5"/>
  <c r="E22" i="5"/>
  <c r="J21" i="5"/>
  <c r="I21" i="5"/>
  <c r="E21" i="5"/>
  <c r="I20" i="5"/>
  <c r="J20" i="5" s="1"/>
  <c r="E20" i="5"/>
  <c r="I19" i="5"/>
  <c r="E19" i="5"/>
  <c r="I18" i="5"/>
  <c r="E18" i="5"/>
  <c r="I17" i="5"/>
  <c r="E17" i="5"/>
  <c r="I16" i="5"/>
  <c r="E16" i="5"/>
  <c r="I15" i="5"/>
  <c r="J15" i="5" s="1"/>
  <c r="E15" i="5"/>
  <c r="J14" i="5"/>
  <c r="I14" i="5"/>
  <c r="E14" i="5"/>
  <c r="E13" i="5"/>
  <c r="J12" i="5"/>
  <c r="I12" i="5"/>
  <c r="E12" i="5"/>
  <c r="J11" i="5"/>
  <c r="I11" i="5"/>
  <c r="E11" i="5"/>
  <c r="I10" i="5"/>
  <c r="J10" i="5" s="1"/>
  <c r="E10" i="5"/>
  <c r="I9" i="5"/>
  <c r="J9" i="5" s="1"/>
  <c r="E9" i="5"/>
  <c r="J8" i="5"/>
  <c r="I8" i="5"/>
  <c r="E8" i="5"/>
  <c r="J7" i="5"/>
  <c r="I7" i="5"/>
  <c r="E7" i="5"/>
  <c r="I6" i="5"/>
  <c r="I5" i="5"/>
  <c r="I4" i="5"/>
  <c r="I3" i="5"/>
  <c r="J3" i="5" s="1"/>
  <c r="I108" i="4"/>
  <c r="J108" i="4" s="1"/>
  <c r="E108" i="4"/>
  <c r="I107" i="4"/>
  <c r="J107" i="4" s="1"/>
  <c r="E107" i="4"/>
  <c r="I106" i="4"/>
  <c r="J106" i="4" s="1"/>
  <c r="E106" i="4"/>
  <c r="I105" i="4"/>
  <c r="J105" i="4" s="1"/>
  <c r="E105" i="4"/>
  <c r="I104" i="4"/>
  <c r="J104" i="4" s="1"/>
  <c r="E104" i="4"/>
  <c r="I103" i="4"/>
  <c r="J103" i="4" s="1"/>
  <c r="E103" i="4"/>
  <c r="I102" i="4"/>
  <c r="J102" i="4" s="1"/>
  <c r="E102" i="4"/>
  <c r="I101" i="4"/>
  <c r="J101" i="4" s="1"/>
  <c r="E101" i="4"/>
  <c r="I100" i="4"/>
  <c r="J100" i="4" s="1"/>
  <c r="E100" i="4"/>
  <c r="J99" i="4"/>
  <c r="I99" i="4"/>
  <c r="E99" i="4"/>
  <c r="I98" i="4"/>
  <c r="J98" i="4" s="1"/>
  <c r="E98" i="4"/>
  <c r="I97" i="4"/>
  <c r="J97" i="4" s="1"/>
  <c r="E97" i="4"/>
  <c r="I96" i="4"/>
  <c r="J96" i="4" s="1"/>
  <c r="E96" i="4"/>
  <c r="I95" i="4"/>
  <c r="J95" i="4" s="1"/>
  <c r="E95" i="4"/>
  <c r="I94" i="4"/>
  <c r="J94" i="4" s="1"/>
  <c r="E94" i="4"/>
  <c r="I93" i="4"/>
  <c r="J93" i="4" s="1"/>
  <c r="E93" i="4"/>
  <c r="I92" i="4"/>
  <c r="J92" i="4" s="1"/>
  <c r="E92" i="4"/>
  <c r="I91" i="4"/>
  <c r="J91" i="4" s="1"/>
  <c r="E91" i="4"/>
  <c r="I90" i="4"/>
  <c r="J90" i="4" s="1"/>
  <c r="E90" i="4"/>
  <c r="I89" i="4"/>
  <c r="J89" i="4" s="1"/>
  <c r="E89" i="4"/>
  <c r="I88" i="4"/>
  <c r="J88" i="4" s="1"/>
  <c r="E88" i="4"/>
  <c r="J87" i="4"/>
  <c r="I87" i="4"/>
  <c r="E87" i="4"/>
  <c r="I86" i="4"/>
  <c r="J86" i="4" s="1"/>
  <c r="E86" i="4"/>
  <c r="I85" i="4"/>
  <c r="J85" i="4" s="1"/>
  <c r="E85" i="4"/>
  <c r="I84" i="4"/>
  <c r="J84" i="4" s="1"/>
  <c r="E84" i="4"/>
  <c r="I83" i="4"/>
  <c r="J83" i="4" s="1"/>
  <c r="E83" i="4"/>
  <c r="I82" i="4"/>
  <c r="J82" i="4" s="1"/>
  <c r="E82" i="4"/>
  <c r="I81" i="4"/>
  <c r="J81" i="4" s="1"/>
  <c r="E81" i="4"/>
  <c r="J80" i="4"/>
  <c r="I80" i="4"/>
  <c r="E80" i="4"/>
  <c r="I79" i="4"/>
  <c r="J79" i="4" s="1"/>
  <c r="E79" i="4"/>
  <c r="I78" i="4"/>
  <c r="J78" i="4" s="1"/>
  <c r="E78" i="4"/>
  <c r="I77" i="4"/>
  <c r="J77" i="4" s="1"/>
  <c r="E77" i="4"/>
  <c r="I76" i="4"/>
  <c r="J76" i="4" s="1"/>
  <c r="E76" i="4"/>
  <c r="J75" i="4"/>
  <c r="I75" i="4"/>
  <c r="E75" i="4"/>
  <c r="I74" i="4"/>
  <c r="J74" i="4" s="1"/>
  <c r="E74" i="4"/>
  <c r="I73" i="4"/>
  <c r="J73" i="4" s="1"/>
  <c r="E73" i="4"/>
  <c r="J72" i="4"/>
  <c r="I72" i="4"/>
  <c r="E72" i="4"/>
  <c r="J71" i="4"/>
  <c r="I71" i="4"/>
  <c r="E71" i="4"/>
  <c r="I70" i="4"/>
  <c r="J70" i="4" s="1"/>
  <c r="E70" i="4"/>
  <c r="I69" i="4"/>
  <c r="J69" i="4" s="1"/>
  <c r="E69" i="4"/>
  <c r="I68" i="4"/>
  <c r="J68" i="4" s="1"/>
  <c r="E68" i="4"/>
  <c r="I67" i="4"/>
  <c r="J67" i="4" s="1"/>
  <c r="E67" i="4"/>
  <c r="I66" i="4"/>
  <c r="J66" i="4" s="1"/>
  <c r="E66" i="4"/>
  <c r="I65" i="4"/>
  <c r="J65" i="4" s="1"/>
  <c r="E65" i="4"/>
  <c r="I64" i="4"/>
  <c r="J64" i="4" s="1"/>
  <c r="E64" i="4"/>
  <c r="J63" i="4"/>
  <c r="I63" i="4"/>
  <c r="E63" i="4"/>
  <c r="I62" i="4"/>
  <c r="J62" i="4" s="1"/>
  <c r="E62" i="4"/>
  <c r="I61" i="4"/>
  <c r="J61" i="4" s="1"/>
  <c r="E61" i="4"/>
  <c r="I60" i="4"/>
  <c r="J60" i="4" s="1"/>
  <c r="E60" i="4"/>
  <c r="I59" i="4"/>
  <c r="J59" i="4" s="1"/>
  <c r="E59" i="4"/>
  <c r="I58" i="4"/>
  <c r="J58" i="4" s="1"/>
  <c r="E58" i="4"/>
  <c r="I57" i="4"/>
  <c r="J57" i="4" s="1"/>
  <c r="E57" i="4"/>
  <c r="I56" i="4"/>
  <c r="J56" i="4" s="1"/>
  <c r="E56" i="4"/>
  <c r="J55" i="4"/>
  <c r="I55" i="4"/>
  <c r="E55" i="4"/>
  <c r="I54" i="4"/>
  <c r="J54" i="4" s="1"/>
  <c r="E54" i="4"/>
  <c r="I53" i="4"/>
  <c r="J53" i="4" s="1"/>
  <c r="E53" i="4"/>
  <c r="I52" i="4"/>
  <c r="J52" i="4" s="1"/>
  <c r="E52" i="4"/>
  <c r="I51" i="4"/>
  <c r="J51" i="4" s="1"/>
  <c r="E51" i="4"/>
  <c r="I50" i="4"/>
  <c r="J50" i="4" s="1"/>
  <c r="E50" i="4"/>
  <c r="I49" i="4"/>
  <c r="J49" i="4" s="1"/>
  <c r="E49" i="4"/>
  <c r="I48" i="4"/>
  <c r="J48" i="4" s="1"/>
  <c r="E48" i="4"/>
  <c r="I47" i="4"/>
  <c r="J47" i="4" s="1"/>
  <c r="E47" i="4"/>
  <c r="I46" i="4"/>
  <c r="J46" i="4" s="1"/>
  <c r="E46" i="4"/>
  <c r="I45" i="4"/>
  <c r="J45" i="4" s="1"/>
  <c r="E45" i="4"/>
  <c r="I44" i="4"/>
  <c r="J44" i="4" s="1"/>
  <c r="E44" i="4"/>
  <c r="J43" i="4"/>
  <c r="I43" i="4"/>
  <c r="E43" i="4"/>
  <c r="I42" i="4"/>
  <c r="J42" i="4" s="1"/>
  <c r="E42" i="4"/>
  <c r="I41" i="4"/>
  <c r="J41" i="4" s="1"/>
  <c r="E41" i="4"/>
  <c r="I40" i="4"/>
  <c r="J40" i="4" s="1"/>
  <c r="E40" i="4"/>
  <c r="J39" i="4"/>
  <c r="I39" i="4"/>
  <c r="E39" i="4"/>
  <c r="I38" i="4"/>
  <c r="J38" i="4" s="1"/>
  <c r="E38" i="4"/>
  <c r="I37" i="4"/>
  <c r="J37" i="4" s="1"/>
  <c r="E37" i="4"/>
  <c r="I36" i="4"/>
  <c r="J36" i="4" s="1"/>
  <c r="E36" i="4"/>
  <c r="I35" i="4"/>
  <c r="J35" i="4" s="1"/>
  <c r="E35" i="4"/>
  <c r="I34" i="4"/>
  <c r="J34" i="4" s="1"/>
  <c r="E34" i="4"/>
  <c r="I33" i="4"/>
  <c r="J33" i="4" s="1"/>
  <c r="E33" i="4"/>
  <c r="I32" i="4"/>
  <c r="J32" i="4" s="1"/>
  <c r="E32" i="4"/>
  <c r="I31" i="4"/>
  <c r="J31" i="4" s="1"/>
  <c r="E31" i="4"/>
  <c r="I30" i="4"/>
  <c r="J30" i="4" s="1"/>
  <c r="E30" i="4"/>
  <c r="I29" i="4"/>
  <c r="J29" i="4" s="1"/>
  <c r="E29" i="4"/>
  <c r="I27" i="4"/>
  <c r="J27" i="4" s="1"/>
  <c r="E27" i="4"/>
  <c r="J26" i="4"/>
  <c r="I26" i="4"/>
  <c r="E26" i="4"/>
  <c r="I25" i="4"/>
  <c r="J25" i="4" s="1"/>
  <c r="E25" i="4"/>
  <c r="I24" i="4"/>
  <c r="J24" i="4" s="1"/>
  <c r="E24" i="4"/>
  <c r="I23" i="4"/>
  <c r="J23" i="4" s="1"/>
  <c r="E23" i="4"/>
  <c r="I22" i="4"/>
  <c r="J22" i="4" s="1"/>
  <c r="E22" i="4"/>
  <c r="I21" i="4"/>
  <c r="J21" i="4" s="1"/>
  <c r="E21" i="4"/>
  <c r="I20" i="4"/>
  <c r="J20" i="4" s="1"/>
  <c r="E20" i="4"/>
  <c r="I19" i="4"/>
  <c r="J19" i="4" s="1"/>
  <c r="E19" i="4"/>
  <c r="I18" i="4"/>
  <c r="J18" i="4" s="1"/>
  <c r="E18" i="4"/>
  <c r="I17" i="4"/>
  <c r="J17" i="4" s="1"/>
  <c r="E17" i="4"/>
  <c r="I16" i="4"/>
  <c r="J16" i="4" s="1"/>
  <c r="E16" i="4"/>
  <c r="I15" i="4"/>
  <c r="J15" i="4" s="1"/>
  <c r="E15" i="4"/>
  <c r="J14" i="4"/>
  <c r="I14" i="4"/>
  <c r="E14" i="4"/>
  <c r="I13" i="4"/>
  <c r="J13" i="4" s="1"/>
  <c r="E13" i="4"/>
  <c r="I12" i="4"/>
  <c r="J12" i="4" s="1"/>
  <c r="E12" i="4"/>
  <c r="I11" i="4"/>
  <c r="J11" i="4" s="1"/>
  <c r="E11" i="4"/>
  <c r="I9" i="4"/>
  <c r="J9" i="4" s="1"/>
  <c r="E9" i="4"/>
  <c r="I8" i="4"/>
  <c r="J8" i="4" s="1"/>
  <c r="E8" i="4"/>
  <c r="I7" i="4"/>
  <c r="J7" i="4" s="1"/>
  <c r="E7" i="4"/>
  <c r="I6" i="4"/>
  <c r="J6" i="4" s="1"/>
  <c r="E6" i="4"/>
  <c r="J4" i="4"/>
  <c r="I4" i="4"/>
  <c r="E4" i="4"/>
  <c r="J64" i="5" l="1"/>
  <c r="J63" i="5"/>
  <c r="J62" i="5"/>
  <c r="J111" i="4"/>
  <c r="J110" i="4"/>
  <c r="J109" i="4"/>
  <c r="E17" i="2"/>
  <c r="E23" i="2"/>
  <c r="I4" i="2"/>
  <c r="J27" i="3"/>
  <c r="J26" i="3"/>
  <c r="J25" i="3"/>
  <c r="E30" i="2" l="1"/>
  <c r="E29" i="2"/>
  <c r="E28" i="2"/>
  <c r="E27" i="2"/>
  <c r="I26" i="2"/>
  <c r="J26" i="2" s="1"/>
  <c r="E26" i="2"/>
  <c r="I25" i="2"/>
  <c r="J25" i="2" s="1"/>
  <c r="E25" i="2"/>
  <c r="E24" i="2"/>
  <c r="E22" i="2"/>
  <c r="E21" i="2"/>
  <c r="E20" i="2"/>
  <c r="E19" i="2"/>
  <c r="E18" i="2"/>
  <c r="E16" i="2"/>
  <c r="E15" i="2"/>
  <c r="E14" i="2"/>
  <c r="E13" i="2"/>
  <c r="E12" i="2"/>
  <c r="E11" i="2"/>
  <c r="I10" i="2"/>
  <c r="J10" i="2" s="1"/>
  <c r="E10" i="2"/>
  <c r="J9" i="2"/>
  <c r="E9" i="2"/>
  <c r="I8" i="2"/>
  <c r="J8" i="2" s="1"/>
  <c r="E8" i="2"/>
  <c r="I7" i="2"/>
  <c r="J7" i="2" s="1"/>
  <c r="E7" i="2"/>
  <c r="J6" i="2"/>
  <c r="E6" i="2"/>
  <c r="J5" i="2"/>
  <c r="E5" i="2"/>
  <c r="J4" i="2"/>
  <c r="E4" i="2"/>
  <c r="J33" i="2" l="1"/>
  <c r="J31" i="2"/>
  <c r="J32" i="2"/>
  <c r="I105" i="1" l="1"/>
  <c r="J105" i="1" s="1"/>
  <c r="E105" i="1"/>
  <c r="I104" i="1"/>
  <c r="J104" i="1" s="1"/>
  <c r="E104" i="1"/>
  <c r="I103" i="1"/>
  <c r="J103" i="1" s="1"/>
  <c r="E103" i="1"/>
  <c r="I102" i="1"/>
  <c r="J102" i="1" s="1"/>
  <c r="E102" i="1"/>
  <c r="I101" i="1"/>
  <c r="J101" i="1" s="1"/>
  <c r="E101" i="1"/>
  <c r="I100" i="1"/>
  <c r="J100" i="1" s="1"/>
  <c r="E100" i="1"/>
  <c r="I99" i="1"/>
  <c r="J99" i="1" s="1"/>
  <c r="E99" i="1"/>
  <c r="I98" i="1"/>
  <c r="J98" i="1" s="1"/>
  <c r="E98" i="1"/>
  <c r="I97" i="1"/>
  <c r="J97" i="1" s="1"/>
  <c r="E97" i="1"/>
  <c r="I96" i="1"/>
  <c r="J96" i="1" s="1"/>
  <c r="E96" i="1"/>
  <c r="I95" i="1"/>
  <c r="J95" i="1" s="1"/>
  <c r="E95" i="1"/>
  <c r="I94" i="1"/>
  <c r="J94" i="1" s="1"/>
  <c r="E94" i="1"/>
  <c r="I93" i="1"/>
  <c r="J93" i="1" s="1"/>
  <c r="E93" i="1"/>
  <c r="I92" i="1"/>
  <c r="J92" i="1" s="1"/>
  <c r="E92" i="1"/>
  <c r="I91" i="1"/>
  <c r="J91" i="1" s="1"/>
  <c r="E91" i="1"/>
  <c r="I90" i="1"/>
  <c r="J90" i="1" s="1"/>
  <c r="E90" i="1"/>
  <c r="I89" i="1"/>
  <c r="J89" i="1" s="1"/>
  <c r="E89" i="1"/>
  <c r="I88" i="1"/>
  <c r="J88" i="1" s="1"/>
  <c r="E88" i="1"/>
  <c r="I87" i="1"/>
  <c r="J87" i="1" s="1"/>
  <c r="E87" i="1"/>
  <c r="I86" i="1"/>
  <c r="J86" i="1" s="1"/>
  <c r="E86" i="1"/>
  <c r="I85" i="1"/>
  <c r="J85" i="1" s="1"/>
  <c r="E85" i="1"/>
  <c r="I84" i="1"/>
  <c r="J84" i="1" s="1"/>
  <c r="E84" i="1"/>
  <c r="I83" i="1"/>
  <c r="J83" i="1" s="1"/>
  <c r="E83" i="1"/>
  <c r="I82" i="1"/>
  <c r="J82" i="1" s="1"/>
  <c r="E82" i="1"/>
  <c r="I81" i="1"/>
  <c r="J81" i="1" s="1"/>
  <c r="E81" i="1"/>
  <c r="I80" i="1"/>
  <c r="J80" i="1" s="1"/>
  <c r="E80" i="1"/>
  <c r="I79" i="1"/>
  <c r="J79" i="1" s="1"/>
  <c r="E79" i="1"/>
  <c r="I78" i="1"/>
  <c r="J78" i="1" s="1"/>
  <c r="E78" i="1"/>
  <c r="I77" i="1"/>
  <c r="J77" i="1" s="1"/>
  <c r="E77" i="1"/>
  <c r="I76" i="1"/>
  <c r="J76" i="1" s="1"/>
  <c r="E76" i="1"/>
  <c r="I75" i="1"/>
  <c r="J75" i="1" s="1"/>
  <c r="E75" i="1"/>
  <c r="I74" i="1"/>
  <c r="J74" i="1" s="1"/>
  <c r="E74" i="1"/>
  <c r="I73" i="1"/>
  <c r="J73" i="1" s="1"/>
  <c r="E73" i="1"/>
  <c r="I72" i="1"/>
  <c r="J72" i="1" s="1"/>
  <c r="E72" i="1"/>
  <c r="I71" i="1"/>
  <c r="J71" i="1" s="1"/>
  <c r="E71" i="1"/>
  <c r="I70" i="1"/>
  <c r="J70" i="1" s="1"/>
  <c r="E70" i="1"/>
  <c r="I69" i="1"/>
  <c r="J69" i="1" s="1"/>
  <c r="E69" i="1"/>
  <c r="I68" i="1"/>
  <c r="J68" i="1" s="1"/>
  <c r="E68" i="1"/>
  <c r="I67" i="1"/>
  <c r="J67" i="1" s="1"/>
  <c r="E67" i="1"/>
  <c r="I66" i="1"/>
  <c r="J66" i="1" s="1"/>
  <c r="E66" i="1"/>
  <c r="I65" i="1"/>
  <c r="J65" i="1" s="1"/>
  <c r="E65" i="1"/>
  <c r="I64" i="1"/>
  <c r="J64" i="1" s="1"/>
  <c r="E64" i="1"/>
  <c r="I63" i="1"/>
  <c r="J63" i="1" s="1"/>
  <c r="E63" i="1"/>
  <c r="I62" i="1"/>
  <c r="J62" i="1" s="1"/>
  <c r="E62" i="1"/>
  <c r="I61" i="1"/>
  <c r="J61" i="1" s="1"/>
  <c r="E61" i="1"/>
  <c r="I60" i="1"/>
  <c r="J60" i="1" s="1"/>
  <c r="E60" i="1"/>
  <c r="I59" i="1"/>
  <c r="J59" i="1" s="1"/>
  <c r="E59" i="1"/>
  <c r="I58" i="1"/>
  <c r="J58" i="1" s="1"/>
  <c r="E58" i="1"/>
  <c r="I57" i="1"/>
  <c r="J57" i="1" s="1"/>
  <c r="E57" i="1"/>
  <c r="I56" i="1"/>
  <c r="J56" i="1" s="1"/>
  <c r="E56" i="1"/>
  <c r="I55" i="1"/>
  <c r="J55" i="1" s="1"/>
  <c r="E55" i="1"/>
  <c r="I54" i="1"/>
  <c r="J54" i="1" s="1"/>
  <c r="E54" i="1"/>
  <c r="I53" i="1"/>
  <c r="J53" i="1" s="1"/>
  <c r="E53" i="1"/>
  <c r="I52" i="1"/>
  <c r="J52" i="1" s="1"/>
  <c r="E52" i="1"/>
  <c r="I51" i="1"/>
  <c r="J51" i="1" s="1"/>
  <c r="E51" i="1"/>
  <c r="I50" i="1"/>
  <c r="J50" i="1" s="1"/>
  <c r="E50" i="1"/>
  <c r="I49" i="1"/>
  <c r="J49" i="1" s="1"/>
  <c r="E49" i="1"/>
  <c r="I48" i="1"/>
  <c r="J48" i="1" s="1"/>
  <c r="E48" i="1"/>
  <c r="I47" i="1"/>
  <c r="J47" i="1" s="1"/>
  <c r="E47" i="1"/>
  <c r="I46" i="1"/>
  <c r="J46" i="1" s="1"/>
  <c r="E46" i="1"/>
  <c r="I45" i="1"/>
  <c r="J45" i="1" s="1"/>
  <c r="E45" i="1"/>
  <c r="I44" i="1"/>
  <c r="J44" i="1" s="1"/>
  <c r="E44" i="1"/>
  <c r="I43" i="1"/>
  <c r="J43" i="1" s="1"/>
  <c r="E43" i="1"/>
  <c r="I42" i="1"/>
  <c r="J42" i="1" s="1"/>
  <c r="E42" i="1"/>
  <c r="I41" i="1"/>
  <c r="J41" i="1" s="1"/>
  <c r="E41" i="1"/>
  <c r="I40" i="1"/>
  <c r="J40" i="1" s="1"/>
  <c r="E40" i="1"/>
  <c r="I39" i="1"/>
  <c r="J39" i="1" s="1"/>
  <c r="E39" i="1"/>
  <c r="I38" i="1"/>
  <c r="J38" i="1" s="1"/>
  <c r="E38" i="1"/>
  <c r="I37" i="1"/>
  <c r="J37" i="1" s="1"/>
  <c r="E37" i="1"/>
  <c r="I36" i="1"/>
  <c r="J36" i="1" s="1"/>
  <c r="E36" i="1"/>
  <c r="I35" i="1"/>
  <c r="J35" i="1" s="1"/>
  <c r="E35" i="1"/>
  <c r="I34" i="1"/>
  <c r="J34" i="1" s="1"/>
  <c r="E34" i="1"/>
  <c r="I33" i="1"/>
  <c r="J33" i="1" s="1"/>
  <c r="E33" i="1"/>
  <c r="I32" i="1"/>
  <c r="J32" i="1" s="1"/>
  <c r="E32" i="1"/>
  <c r="I31" i="1"/>
  <c r="J31" i="1" s="1"/>
  <c r="E31" i="1"/>
  <c r="I30" i="1"/>
  <c r="J30" i="1" s="1"/>
  <c r="E30" i="1"/>
  <c r="I29" i="1"/>
  <c r="J29" i="1" s="1"/>
  <c r="E29" i="1"/>
  <c r="I28" i="1"/>
  <c r="J28" i="1" s="1"/>
  <c r="E28" i="1"/>
  <c r="I27" i="1"/>
  <c r="J27" i="1" s="1"/>
  <c r="E27" i="1"/>
  <c r="I26" i="1"/>
  <c r="J26" i="1" s="1"/>
  <c r="E26" i="1"/>
  <c r="I24" i="1"/>
  <c r="J24" i="1" s="1"/>
  <c r="E24" i="1"/>
  <c r="I23" i="1"/>
  <c r="J23" i="1" s="1"/>
  <c r="E23" i="1"/>
  <c r="I22" i="1"/>
  <c r="J22" i="1" s="1"/>
  <c r="E22" i="1"/>
  <c r="I21" i="1"/>
  <c r="J21" i="1" s="1"/>
  <c r="E21" i="1"/>
  <c r="I20" i="1"/>
  <c r="J20" i="1" s="1"/>
  <c r="E20" i="1"/>
  <c r="I19" i="1"/>
  <c r="J19" i="1" s="1"/>
  <c r="E19" i="1"/>
  <c r="I18" i="1"/>
  <c r="J18" i="1" s="1"/>
  <c r="E18" i="1"/>
  <c r="I17" i="1"/>
  <c r="J17" i="1" s="1"/>
  <c r="E17" i="1"/>
  <c r="I16" i="1"/>
  <c r="J16" i="1" s="1"/>
  <c r="E16" i="1"/>
  <c r="I15" i="1"/>
  <c r="J15" i="1" s="1"/>
  <c r="E15" i="1"/>
  <c r="I14" i="1"/>
  <c r="J14" i="1" s="1"/>
  <c r="E14" i="1"/>
  <c r="I13" i="1"/>
  <c r="J13" i="1" s="1"/>
  <c r="E13" i="1"/>
  <c r="I12" i="1"/>
  <c r="J12" i="1" s="1"/>
  <c r="E12" i="1"/>
  <c r="I11" i="1"/>
  <c r="J11" i="1" s="1"/>
  <c r="E11" i="1"/>
  <c r="I10" i="1"/>
  <c r="J10" i="1" s="1"/>
  <c r="E10" i="1"/>
  <c r="I9" i="1"/>
  <c r="J9" i="1" s="1"/>
  <c r="E9" i="1"/>
  <c r="I8" i="1"/>
  <c r="J8" i="1" s="1"/>
  <c r="E8" i="1"/>
  <c r="I6" i="1"/>
  <c r="J6" i="1" s="1"/>
  <c r="E6" i="1"/>
  <c r="I4" i="1"/>
  <c r="J4" i="1" s="1"/>
  <c r="E4" i="1"/>
  <c r="J108" i="1" s="1"/>
  <c r="J107" i="1" l="1"/>
  <c r="J106" i="1"/>
</calcChain>
</file>

<file path=xl/sharedStrings.xml><?xml version="1.0" encoding="utf-8"?>
<sst xmlns="http://schemas.openxmlformats.org/spreadsheetml/2006/main" count="491" uniqueCount="369">
  <si>
    <t>ƯỚC TÍNH GIÁ TRỊ HIỆN TẠI - TÀI SẢN / CCDC / PHƯƠNG TIỆN VẬN TẢI - XƯỞNG ĐỒNG TÂM (đã qua sử dụng 4 năm)</t>
  </si>
  <si>
    <t>STT</t>
  </si>
  <si>
    <t>TÊN TÀI SẢN</t>
  </si>
  <si>
    <t>MÃ SỐ/KÝ HIỆU</t>
  </si>
  <si>
    <t>SL</t>
  </si>
  <si>
    <t>PHÂN LOẠI
(TSCĐ/CCDC)</t>
  </si>
  <si>
    <t>ĐƠN GIÁ MUA MỚI
(ước tính, VNĐ)</t>
  </si>
  <si>
    <t>SỐ NĂM
SỬ DỤNG</t>
  </si>
  <si>
    <t>VÒNG ĐỜI
TỐI THIỂU (năm)</t>
  </si>
  <si>
    <t>TỶ LỆ GIÁ TRỊ
CÒN LẠI</t>
  </si>
  <si>
    <t>GIÁ TRỊ CÒN LẠI
(VNĐ)</t>
  </si>
  <si>
    <t>NHÀ XƯỞNG</t>
  </si>
  <si>
    <t>PHƯƠNG TIỆN VẬN TẢI</t>
  </si>
  <si>
    <t>XE TẢI 63C-17558 TERACO</t>
  </si>
  <si>
    <t>1.4 TẤN</t>
  </si>
  <si>
    <t>MÁY MÓC THIẾT BỊ</t>
  </si>
  <si>
    <t>3 LÓC 2 NGỰA</t>
  </si>
  <si>
    <t>BEBICON 3,7</t>
  </si>
  <si>
    <t>EASTMAN 8627</t>
  </si>
  <si>
    <t>MÁY CẮT MUS</t>
  </si>
  <si>
    <t>UniSare 508C1-101</t>
  </si>
  <si>
    <t>MACK 100</t>
  </si>
  <si>
    <t>MÁY PHUN KEO</t>
  </si>
  <si>
    <t>MÁY MAY VIỀN</t>
  </si>
  <si>
    <t>LC-300U</t>
  </si>
  <si>
    <t>LC3-2CHAZxM75</t>
  </si>
  <si>
    <t>MÁY MAY 1 KIM</t>
  </si>
  <si>
    <t>SUNSTAR</t>
  </si>
  <si>
    <t>JUKI-ZI9701 AR-D3</t>
  </si>
  <si>
    <t>HIKRI-H8800DW70-5</t>
  </si>
  <si>
    <t>LOIANG-YI-D168</t>
  </si>
  <si>
    <t>CS-3H50</t>
  </si>
  <si>
    <t>250KG</t>
  </si>
  <si>
    <t>CÔNG CỤ DỤNG CỤ</t>
  </si>
  <si>
    <t>W71 ANEST,WTA</t>
  </si>
  <si>
    <t>M6x2Mx75</t>
  </si>
  <si>
    <t>BÀN CẮT VẢI</t>
  </si>
  <si>
    <t>75x245x300</t>
  </si>
  <si>
    <t>BÀN ĐÓNG GÓI</t>
  </si>
  <si>
    <t>120x245x115</t>
  </si>
  <si>
    <t>BÀN KÉO BỌC</t>
  </si>
  <si>
    <t>75x245x245</t>
  </si>
  <si>
    <t>KỆ LỚN ÁO 3 TẦNG</t>
  </si>
  <si>
    <t>KỆ LỚN VALI 3 TẦNG</t>
  </si>
  <si>
    <t>KỆ SẮT ĐỂ TEM BPH</t>
  </si>
  <si>
    <t>KỆ SẮT ĐỂ ÁO VÔ NỆM</t>
  </si>
  <si>
    <t>KỆ SẮT 4 TẦNG ĐỂ VẢI VỤNG</t>
  </si>
  <si>
    <t>BÀN LÀM VIỆC</t>
  </si>
  <si>
    <t>60x76x120</t>
  </si>
  <si>
    <t>MÁY QUẠT SENKO ĐỨNG</t>
  </si>
  <si>
    <t>MÁY QUẠT SENKO TREO TƯỜNG</t>
  </si>
  <si>
    <t>MÁY QUẠT LIFAN ĐỨNG</t>
  </si>
  <si>
    <t>MÁY QUẠT ASIA</t>
  </si>
  <si>
    <t>MÀN HÌNH VI TÍNH</t>
  </si>
  <si>
    <t>PC</t>
  </si>
  <si>
    <t>HP PRODESK</t>
  </si>
  <si>
    <t>JETEK</t>
  </si>
  <si>
    <t>XIGMATEK</t>
  </si>
  <si>
    <t>EMASTER-ADVANCER E66</t>
  </si>
  <si>
    <t>KÉO CẮT BỌC</t>
  </si>
  <si>
    <t>KÉO BẤM CHỈ</t>
  </si>
  <si>
    <t>Dụng cụ cắt băng keo</t>
  </si>
  <si>
    <t>15x120x120</t>
  </si>
  <si>
    <t>MÁY NÂNG TAY</t>
  </si>
  <si>
    <t>ỐNG SẮT DÁN BỌC</t>
  </si>
  <si>
    <t>6x300</t>
  </si>
  <si>
    <t>NHƠN HOÀ</t>
  </si>
  <si>
    <t>CÂN 100KG</t>
  </si>
  <si>
    <t>NHƠN HÒA</t>
  </si>
  <si>
    <t>SỌT NHỰA HÀNG TRUNG</t>
  </si>
  <si>
    <t>SỌT NHỰA LOẠI NHỎ</t>
  </si>
  <si>
    <t>81x257x335</t>
  </si>
  <si>
    <t>THANG NHÔM NHỎ</t>
  </si>
  <si>
    <t>THÙNG ĐỰNG CỒN 5L</t>
  </si>
  <si>
    <t>THÙNG ĐỰNG NƯỚC LỚN</t>
  </si>
  <si>
    <t>GHẾ NHỰA NHỎ</t>
  </si>
  <si>
    <t>GHẾ NHỰA LỚN</t>
  </si>
  <si>
    <t>MÁY LỌC NƯỚC</t>
  </si>
  <si>
    <t>Ổ ĐIỆN</t>
  </si>
  <si>
    <t>SỌT NHỎ MAY VIỀN</t>
  </si>
  <si>
    <t>BÀN ĂN INOX</t>
  </si>
  <si>
    <t>THÙNG ĐỰNG NƯỚC UỐNG</t>
  </si>
  <si>
    <t>BÀN TRE</t>
  </si>
  <si>
    <t>GHẾ TRE</t>
  </si>
  <si>
    <t>ĐỒ HỐT RÁC</t>
  </si>
  <si>
    <t>CHỔI QUÉT NHÀ</t>
  </si>
  <si>
    <t>KIỀM BẤM</t>
  </si>
  <si>
    <t>KIỀM NHỎ</t>
  </si>
  <si>
    <t>MỎ LẾCH NHỎ</t>
  </si>
  <si>
    <t>MỎ LẾCH LỚN</t>
  </si>
  <si>
    <t>VÍT BAKÊ</t>
  </si>
  <si>
    <t>DAO CẮT MUX NHỎ</t>
  </si>
  <si>
    <t>BÌNH DẦU 5L</t>
  </si>
  <si>
    <t>BÌNH XĂNG 2L</t>
  </si>
  <si>
    <t>TỦ LẠNH</t>
  </si>
  <si>
    <t>SOLARLIGHT 200W</t>
  </si>
  <si>
    <t xml:space="preserve">  Trong đó: TSCĐ (nguyên giá ≥30tr)</t>
  </si>
  <si>
    <t xml:space="preserve">  Trong đó: CCDC (nguyên giá &lt;30tr)</t>
  </si>
  <si>
    <t>GÁC</t>
  </si>
  <si>
    <t>MÁY BƠM HITACHI</t>
  </si>
  <si>
    <t>DDP -20</t>
  </si>
  <si>
    <t>Air Powered Pumps. Model: DDP.20</t>
  </si>
  <si>
    <t xml:space="preserve">MÁY CẮT VẢI </t>
  </si>
  <si>
    <t xml:space="preserve">MTA </t>
  </si>
  <si>
    <t>MÁY NAKO</t>
  </si>
  <si>
    <t>MÁY YATAKA</t>
  </si>
  <si>
    <t>MÁY TỜ</t>
  </si>
  <si>
    <t>ỐNG PHUN KEO</t>
  </si>
  <si>
    <t>MỐI ĐƯỜNG RA 2M5</t>
  </si>
  <si>
    <t>SÚNG PHUN KEO</t>
  </si>
  <si>
    <t>DỰ PHÒNG</t>
  </si>
  <si>
    <t>ĐƯỜNG DÂY PHUN KEO</t>
  </si>
  <si>
    <t>BÀN PHUN KEO XOAY</t>
  </si>
  <si>
    <t>BÀN PHUN KEO</t>
  </si>
  <si>
    <t>M5xM9 x65</t>
  </si>
  <si>
    <t>40X 140X60</t>
  </si>
  <si>
    <t>KỆ SẮT ĐỂ  TEM TRANH PBH</t>
  </si>
  <si>
    <t>65X195X70</t>
  </si>
  <si>
    <t>60X200X90</t>
  </si>
  <si>
    <t>50X390X245</t>
  </si>
  <si>
    <t>TỦ 6 TẦNG</t>
  </si>
  <si>
    <t>35X140X250</t>
  </si>
  <si>
    <t xml:space="preserve">BÀN LÀM VIỆC </t>
  </si>
  <si>
    <t>40X80X75</t>
  </si>
  <si>
    <t>60X120X73</t>
  </si>
  <si>
    <t>60X120X80</t>
  </si>
  <si>
    <t xml:space="preserve">GHẾ LÀM VIỆC </t>
  </si>
  <si>
    <t>MÁY QUẠT LIFAN TREO TƯỞNG</t>
  </si>
  <si>
    <t>HP 30 X 50</t>
  </si>
  <si>
    <t>XIAOMI  45X 62</t>
  </si>
  <si>
    <t>SAMSUNG 30X40</t>
  </si>
  <si>
    <t>AOC 32X55</t>
  </si>
  <si>
    <t>ĐƯỜNG RAY NHÔM MÁY CẮT</t>
  </si>
  <si>
    <t>10X280X3</t>
  </si>
  <si>
    <t>KÉO CẮT VẢI</t>
  </si>
  <si>
    <t>BALLET SẮT</t>
  </si>
  <si>
    <t>CÂN 5KG</t>
  </si>
  <si>
    <t>THANG LẤY ÁO +VALI</t>
  </si>
  <si>
    <t>THƯỚT ĐO 5M</t>
  </si>
  <si>
    <t>THƯỚT NHÔM 2M</t>
  </si>
  <si>
    <t>BÓNG ĐÈN</t>
  </si>
  <si>
    <t>BÌNH PCCC</t>
  </si>
  <si>
    <t>DAO CẮT MUX LỚN</t>
  </si>
  <si>
    <t>ĐÈN NĂNG LƯỢNG MẶT TRỜI</t>
  </si>
  <si>
    <t>TỔNG CỘNG GIÁ TRỊ CÒN LẠI ƯỚC TÍNH</t>
  </si>
  <si>
    <t>Tủ sắt đựng hồ sơ</t>
  </si>
  <si>
    <t>Bàn gỗ làm việc (PGĐ)</t>
  </si>
  <si>
    <t>Ghế tựa làm việc (PGĐ)</t>
  </si>
  <si>
    <t>Máy lạnh</t>
  </si>
  <si>
    <t>MITSUBISHI, CASPER</t>
  </si>
  <si>
    <t>Máy tính cầm tay</t>
  </si>
  <si>
    <t>Bàn làm việc lớn 4 ngăn</t>
  </si>
  <si>
    <t>Bàn làm việc gỗ đơn</t>
  </si>
  <si>
    <t>Màn hình</t>
  </si>
  <si>
    <t xml:space="preserve"> ACER </t>
  </si>
  <si>
    <t>XIAOMI</t>
  </si>
  <si>
    <t>AOC</t>
  </si>
  <si>
    <t>HP</t>
  </si>
  <si>
    <t>MSI</t>
  </si>
  <si>
    <t>LG</t>
  </si>
  <si>
    <t>Thùng PC</t>
  </si>
  <si>
    <t>DELL</t>
  </si>
  <si>
    <t>Máy in trắng đen</t>
  </si>
  <si>
    <t>Bình nước nóng</t>
  </si>
  <si>
    <t>Ghế</t>
  </si>
  <si>
    <t>Bình nước nhựa</t>
  </si>
  <si>
    <t>Máy chấm công</t>
  </si>
  <si>
    <t>Tủ đựng Văn Phòng Phẩm</t>
  </si>
  <si>
    <t>ƯỚC TÍNH GIÁ TRỊ HIỆN TẠI - TÀI SẢN / CCDC / PHƯƠNG TIỆN VẬN TẢI - MARKETING (đã qua sử dụng 4 năm)</t>
  </si>
  <si>
    <t>Gimbal SMART S2</t>
  </si>
  <si>
    <t>2.999.000đ</t>
  </si>
  <si>
    <t>Gimbal DJI RSC 2</t>
  </si>
  <si>
    <t>7.290.000đ</t>
  </si>
  <si>
    <t>Máy ảnh Sony A6400</t>
  </si>
  <si>
    <t>18.490.000đ</t>
  </si>
  <si>
    <t>DJI OSMO POCKET 3</t>
  </si>
  <si>
    <t>16.180.000đ</t>
  </si>
  <si>
    <t>Lens sigma 16mm</t>
  </si>
  <si>
    <t>10.190.000đ</t>
  </si>
  <si>
    <t>Lens sigma 30mm</t>
  </si>
  <si>
    <t>7.090.000đ</t>
  </si>
  <si>
    <t>Pin flycam</t>
  </si>
  <si>
    <t>2.000.000đ</t>
  </si>
  <si>
    <t>Thùng PC + Màn Hình</t>
  </si>
  <si>
    <t>30.000.000đ</t>
  </si>
  <si>
    <t>Bộ thu âm XOX K10</t>
  </si>
  <si>
    <t>1.390.000đ</t>
  </si>
  <si>
    <t>Đèn godox sl60iid</t>
  </si>
  <si>
    <t>2.500.000đ</t>
  </si>
  <si>
    <t>Máy in màu</t>
  </si>
  <si>
    <t>6.870.000đ</t>
  </si>
  <si>
    <t>Máy đóng lò xo</t>
  </si>
  <si>
    <t>1.100.000đ</t>
  </si>
  <si>
    <t>Máy chiếu Q10 Plus</t>
  </si>
  <si>
    <t>4.900.000đ</t>
  </si>
  <si>
    <t>Ổ cứng di động SSD SanDick</t>
  </si>
  <si>
    <t>2.990.000đ</t>
  </si>
  <si>
    <t>Sạc dự phòng Anker</t>
  </si>
  <si>
    <t>1.679.000đ</t>
  </si>
  <si>
    <t>Monopod</t>
  </si>
  <si>
    <t>1.755.000đ</t>
  </si>
  <si>
    <t>Tủ trưng bày</t>
  </si>
  <si>
    <t>5.000.000đ</t>
  </si>
  <si>
    <t>Giường</t>
  </si>
  <si>
    <t>500.000đ</t>
  </si>
  <si>
    <t>Tab đầu giường</t>
  </si>
  <si>
    <t>Chậu hoa nhựa</t>
  </si>
  <si>
    <t>50.000đ</t>
  </si>
  <si>
    <t>Tủ decor</t>
  </si>
  <si>
    <t>VSP</t>
  </si>
  <si>
    <t>MASTER</t>
  </si>
  <si>
    <t>MIXE</t>
  </si>
  <si>
    <t>ƯỚC TÍNH GIÁ TRỊ HIỆN TẠI - TÀI SẢN / CCDC / PHƯƠNG TIỆN VẬN TẢI - KHO MỸ THO</t>
  </si>
  <si>
    <t>NHÀ KHO</t>
  </si>
  <si>
    <t>XE TẢI 63A-71730</t>
  </si>
  <si>
    <t>XE TẢI 63A-72367</t>
  </si>
  <si>
    <t>XE TẢI 67C-11853</t>
  </si>
  <si>
    <t>MÁY TÍNH BÀN</t>
  </si>
  <si>
    <t>2Samsung/1edra/1xiaomi/1hikvision</t>
  </si>
  <si>
    <t>THÙNG PC</t>
  </si>
  <si>
    <t>MÀN HÌNH MÁY TÍNH</t>
  </si>
  <si>
    <t>MÁY ĐẾM TIỀN SILICON</t>
  </si>
  <si>
    <t>MÁY IN CANON</t>
  </si>
  <si>
    <t>GHẾ XOAY VĂN PHÒNG</t>
  </si>
  <si>
    <t>GHẾ DỰA</t>
  </si>
  <si>
    <t>GHẾ NHỰA ĐỎ</t>
  </si>
  <si>
    <t>SỌT RÁC LỚN</t>
  </si>
  <si>
    <t>SỌT RÁC NHỎ</t>
  </si>
  <si>
    <t>QUẠT TREO TƯỜNG</t>
  </si>
  <si>
    <t>MÁY LẠNH</t>
  </si>
  <si>
    <t>Mitsubishu / Asanzo</t>
  </si>
  <si>
    <t>CAMERA</t>
  </si>
  <si>
    <t>RÈM VẢI CHỐNG NẮNG M4</t>
  </si>
  <si>
    <t>KỆ NHỎ</t>
  </si>
  <si>
    <t>KỆ ĐỰNG HỒ SƠ</t>
  </si>
  <si>
    <t>ĐỒNG HỒ</t>
  </si>
  <si>
    <t xml:space="preserve">MÁY TÍNH CẦM TAY </t>
  </si>
  <si>
    <t>BÀN LÀM VIỆC 70CM - M4</t>
  </si>
  <si>
    <t>BÀN LÀM VIỆC 75CM - M2</t>
  </si>
  <si>
    <t>MÁY CHẤM CÔNG</t>
  </si>
  <si>
    <t>GHẾ XẾP</t>
  </si>
  <si>
    <t>TỦ SẮT</t>
  </si>
  <si>
    <t>CHUYỂN LÊN ĐỒNG TÂM</t>
  </si>
  <si>
    <t>XE NÂNG</t>
  </si>
  <si>
    <t>CHỔI CỎ</t>
  </si>
  <si>
    <t>Aqua - AQR - T260FA</t>
  </si>
  <si>
    <t>NỒI CƠM ĐIỆN</t>
  </si>
  <si>
    <t>Delites 1.8L</t>
  </si>
  <si>
    <t>KÉO</t>
  </si>
  <si>
    <t>THƯỚC DÂY</t>
  </si>
  <si>
    <t>CÂY CỜ</t>
  </si>
  <si>
    <t>QUẠT ĐỨNG</t>
  </si>
  <si>
    <t>BÀN TRÒN INOX</t>
  </si>
  <si>
    <t>BÀN THỜ</t>
  </si>
  <si>
    <t xml:space="preserve">BẾP ĐIỆN </t>
  </si>
  <si>
    <t>Sunhouse</t>
  </si>
  <si>
    <t>BÀN THỜ ÔNG ĐỊA</t>
  </si>
  <si>
    <t>KY XÚC RÁC</t>
  </si>
  <si>
    <t>CHỔI CHÀ</t>
  </si>
  <si>
    <t>ỐNG NƯỚC 5M</t>
  </si>
  <si>
    <t>GHẾ NGỒI NHỎ</t>
  </si>
  <si>
    <t>MÁY BƠM NƯỚC</t>
  </si>
  <si>
    <t>XE MÁY GIAO HÀNG</t>
  </si>
  <si>
    <t>BÀN NHỰA ĐỎ</t>
  </si>
  <si>
    <t>KỆ 6M</t>
  </si>
  <si>
    <t>KỆ 4M</t>
  </si>
  <si>
    <t>KỆ 7M3</t>
  </si>
  <si>
    <t>KỆ 4M8</t>
  </si>
  <si>
    <t>KỆ 2M2</t>
  </si>
  <si>
    <t>KỆ 6M1</t>
  </si>
  <si>
    <t>KỆ 4M5</t>
  </si>
  <si>
    <t>KỆ 1M1</t>
  </si>
  <si>
    <t>KỆ 3M7</t>
  </si>
  <si>
    <t>KỆ 1M8</t>
  </si>
  <si>
    <t>KỆ 2M4</t>
  </si>
  <si>
    <t>KỆ 1M6</t>
  </si>
  <si>
    <t>KỆ 1M9</t>
  </si>
  <si>
    <t>KỆ 2M8</t>
  </si>
  <si>
    <t>KỆ 3M9</t>
  </si>
  <si>
    <t>XỌT NHỰA</t>
  </si>
  <si>
    <t>THÙNG PHI</t>
  </si>
  <si>
    <t>KỆ CHÉN</t>
  </si>
  <si>
    <t>THÙNG ĐỰNG GẠO</t>
  </si>
  <si>
    <t>MÁY NƯỚC NÓNG LẠNH</t>
  </si>
  <si>
    <t>THAO NHỰA</t>
  </si>
  <si>
    <t>THAO NHÔM</t>
  </si>
  <si>
    <t>XÔ LỚN</t>
  </si>
  <si>
    <t>XÔ NHỎ</t>
  </si>
  <si>
    <t>BÌNH CHỮA CHÁY LỚN</t>
  </si>
  <si>
    <t>BÌNH CHỮA CHÁY NHỎ</t>
  </si>
  <si>
    <t>Nhơn Hòa</t>
  </si>
  <si>
    <t>BẢNG THÔNG BÁO</t>
  </si>
  <si>
    <t xml:space="preserve">HỘP MỰC </t>
  </si>
  <si>
    <t>KÉT SẮT</t>
  </si>
  <si>
    <t>Vitico</t>
  </si>
  <si>
    <t>XE TẢI 66A-50613</t>
  </si>
  <si>
    <t>3.5T (2021)</t>
  </si>
  <si>
    <t>1.9 TẤN (2019)</t>
  </si>
  <si>
    <t>5T  (2016)</t>
  </si>
  <si>
    <t>3.5T  (2022)</t>
  </si>
  <si>
    <t>ƯỚC TÍNH GIÁ TRỊ HIỆN TẠI - TÀI SẢN / CCDC / PHƯƠNG TIỆN VẬN TẢI - KHO CẦN THƠ</t>
  </si>
  <si>
    <t>Xe tải 63C-18628 TERACO</t>
  </si>
  <si>
    <t>TSCĐ</t>
  </si>
  <si>
    <t xml:space="preserve">XE BÀN GIAO TỪ XƯỞNG ĐT </t>
  </si>
  <si>
    <t>Xe máy giao hàng (Không hoạt động)</t>
  </si>
  <si>
    <t>WAVE</t>
  </si>
  <si>
    <t>Xe máy giao hàng ( SIRIUS )</t>
  </si>
  <si>
    <t>SIRUS</t>
  </si>
  <si>
    <t>Xe máy giao hàng</t>
  </si>
  <si>
    <t>WAVE ALPHA</t>
  </si>
  <si>
    <t>Máy lạnh AQUA</t>
  </si>
  <si>
    <t>Máy in CANON</t>
  </si>
  <si>
    <t xml:space="preserve">Máy đếm tiền MAXDA </t>
  </si>
  <si>
    <t>Máy chấm công ZK TECO</t>
  </si>
  <si>
    <t xml:space="preserve">Máy tính LG </t>
  </si>
  <si>
    <t>27MS500</t>
  </si>
  <si>
    <t>24M47VQ</t>
  </si>
  <si>
    <t>Máy tính AOC</t>
  </si>
  <si>
    <t>24B1XHS</t>
  </si>
  <si>
    <t>Máy tính VSP</t>
  </si>
  <si>
    <t>IP2407 SG</t>
  </si>
  <si>
    <t>Máy tính SAMSUNG (không hoạt động)</t>
  </si>
  <si>
    <t>S22B310B</t>
  </si>
  <si>
    <t>PHONG.VU</t>
  </si>
  <si>
    <t>Máy tính tay CASIO</t>
  </si>
  <si>
    <t>FLEX10 CAL-02S</t>
  </si>
  <si>
    <t>Máy quạt SENKO đứng</t>
  </si>
  <si>
    <t>Quạt hơi nước NAKO</t>
  </si>
  <si>
    <t>Quạt hút</t>
  </si>
  <si>
    <t xml:space="preserve">Quạt công nghiệp LIFAN </t>
  </si>
  <si>
    <t>Bếp điện BLUESTONE</t>
  </si>
  <si>
    <t>Tủ lạnh PANASONIC</t>
  </si>
  <si>
    <t>Máy lọc nước KANGAROO</t>
  </si>
  <si>
    <t>Máy bơm YATAKA</t>
  </si>
  <si>
    <t xml:space="preserve">Đèn dài </t>
  </si>
  <si>
    <t xml:space="preserve">Đèn tròn </t>
  </si>
  <si>
    <t xml:space="preserve">Camera VERSION </t>
  </si>
  <si>
    <t>Điện thoại di động REDMI 13C</t>
  </si>
  <si>
    <t>USB wifi</t>
  </si>
  <si>
    <t>Bình chữa cháy</t>
  </si>
  <si>
    <t xml:space="preserve">Bảng thoát hiểm </t>
  </si>
  <si>
    <t xml:space="preserve">Kệ trưng bày hàng hóa </t>
  </si>
  <si>
    <t>Kệ nhỏ đựng dụng cụ</t>
  </si>
  <si>
    <t xml:space="preserve">Cân 5KG </t>
  </si>
  <si>
    <t>Cân 100KG</t>
  </si>
  <si>
    <t xml:space="preserve">Hộp thư góp ý </t>
  </si>
  <si>
    <t>chổi</t>
  </si>
  <si>
    <t xml:space="preserve">Hốt rác </t>
  </si>
  <si>
    <t>Sọt rác</t>
  </si>
  <si>
    <t>Bàn inox</t>
  </si>
  <si>
    <t>Bàn thờ ông địa</t>
  </si>
  <si>
    <t>Bàn cửu huyền</t>
  </si>
  <si>
    <t xml:space="preserve">Kệ chén </t>
  </si>
  <si>
    <t xml:space="preserve">Con dấu </t>
  </si>
  <si>
    <t>2 cái 1 năm
2 cái 1 tháng</t>
  </si>
  <si>
    <t xml:space="preserve">Bảng thông báo </t>
  </si>
  <si>
    <t>Bàn làm việc đơn</t>
  </si>
  <si>
    <t>Bàn làm việc dãy (4 cái)</t>
  </si>
  <si>
    <t>Ghế làm việc</t>
  </si>
  <si>
    <t>Ghế nhựa</t>
  </si>
  <si>
    <t>BALLET nhựa</t>
  </si>
  <si>
    <t>Xe nâng</t>
  </si>
  <si>
    <t>Xe kéo</t>
  </si>
  <si>
    <t>Thước cuộn</t>
  </si>
  <si>
    <t>0,5</t>
  </si>
  <si>
    <t>Tủ thuốc y tế</t>
  </si>
  <si>
    <t>Ổ điện</t>
  </si>
  <si>
    <t>Kéo</t>
  </si>
  <si>
    <t>2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</si>
</sst>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25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sz val="10"/>
      <color rgb="FFFFFFFF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color theme="1"/>
      <name val="Arial"/>
      <family val="2"/>
    </font>
    <font>
      <sz val="11"/>
      <color rgb="FF0000FF"/>
      <name val="Times New Roman"/>
      <family val="1"/>
    </font>
    <font>
      <b/>
      <sz val="13"/>
      <color rgb="FFFFFFFF"/>
      <name val="Times New Roman"/>
      <charset val="134"/>
    </font>
    <font>
      <sz val="11"/>
      <color theme="1"/>
      <name val="Times New Roman"/>
      <charset val="1"/>
    </font>
    <font>
      <b/>
      <sz val="10"/>
      <color rgb="FFFFFFFF"/>
      <name val="Times New Roman"/>
      <charset val="134"/>
    </font>
    <font>
      <sz val="10"/>
      <name val="Times New Roman"/>
      <charset val="134"/>
    </font>
    <font>
      <sz val="11"/>
      <color theme="1"/>
      <name val="Times New Roman"/>
      <charset val="134"/>
    </font>
    <font>
      <sz val="10"/>
      <color rgb="FF0000FF"/>
      <name val="Times New Roman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i/>
      <sz val="10"/>
      <name val="Times New Roman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D9E1F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73">
    <xf numFmtId="0" fontId="0" fillId="0" borderId="0" xfId="0"/>
    <xf numFmtId="3" fontId="7" fillId="0" borderId="0" xfId="0" applyNumberFormat="1" applyFont="1"/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3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/>
    <xf numFmtId="0" fontId="4" fillId="6" borderId="1" xfId="0" applyFont="1" applyFill="1" applyBorder="1" applyAlignment="1">
      <alignment horizontal="center" vertical="center"/>
    </xf>
    <xf numFmtId="3" fontId="6" fillId="7" borderId="1" xfId="0" applyNumberFormat="1" applyFont="1" applyFill="1" applyBorder="1"/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9" fillId="0" borderId="0" xfId="0" applyFont="1"/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3" fillId="0" borderId="1" xfId="0" applyFont="1" applyBorder="1" applyAlignment="1">
      <alignment wrapText="1"/>
    </xf>
    <xf numFmtId="0" fontId="4" fillId="6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3" fillId="0" borderId="1" xfId="0" applyFont="1" applyBorder="1"/>
    <xf numFmtId="164" fontId="14" fillId="0" borderId="1" xfId="1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8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3" fontId="21" fillId="0" borderId="1" xfId="0" applyNumberFormat="1" applyFont="1" applyBorder="1" applyAlignment="1">
      <alignment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9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0" fontId="19" fillId="9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left" vertical="center"/>
    </xf>
    <xf numFmtId="9" fontId="19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20" fillId="10" borderId="1" xfId="0" applyFont="1" applyFill="1" applyBorder="1" applyAlignment="1">
      <alignment vertical="center"/>
    </xf>
    <xf numFmtId="0" fontId="19" fillId="11" borderId="1" xfId="0" applyFont="1" applyFill="1" applyBorder="1" applyAlignment="1">
      <alignment horizontal="center" vertical="center"/>
    </xf>
    <xf numFmtId="3" fontId="21" fillId="0" borderId="1" xfId="0" applyNumberFormat="1" applyFont="1" applyBorder="1"/>
    <xf numFmtId="3" fontId="19" fillId="0" borderId="1" xfId="0" applyNumberFormat="1" applyFont="1" applyBorder="1"/>
    <xf numFmtId="0" fontId="20" fillId="0" borderId="1" xfId="0" applyFont="1" applyBorder="1" applyAlignment="1">
      <alignment vertical="center" wrapText="1"/>
    </xf>
    <xf numFmtId="0" fontId="20" fillId="0" borderId="1" xfId="0" applyFont="1" applyBorder="1"/>
    <xf numFmtId="0" fontId="22" fillId="9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vertical="center"/>
    </xf>
    <xf numFmtId="0" fontId="23" fillId="8" borderId="1" xfId="0" applyFont="1" applyFill="1" applyBorder="1" applyAlignment="1">
      <alignment horizontal="right" vertical="center"/>
    </xf>
    <xf numFmtId="0" fontId="23" fillId="8" borderId="1" xfId="0" applyFont="1" applyFill="1" applyBorder="1" applyAlignment="1">
      <alignment horizontal="center" vertical="center"/>
    </xf>
    <xf numFmtId="3" fontId="23" fillId="7" borderId="1" xfId="0" applyNumberFormat="1" applyFont="1" applyFill="1" applyBorder="1"/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/>
    <xf numFmtId="0" fontId="20" fillId="0" borderId="0" xfId="0" applyFont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showGridLines="0" zoomScaleNormal="100" workbookViewId="0">
      <pane ySplit="2" topLeftCell="A15" activePane="bottomLeft" state="frozen"/>
      <selection pane="bottomLeft" activeCell="M30" sqref="M30"/>
    </sheetView>
  </sheetViews>
  <sheetFormatPr defaultColWidth="8.7109375" defaultRowHeight="15"/>
  <cols>
    <col min="1" max="1" width="8.140625" customWidth="1"/>
    <col min="2" max="2" width="35.140625" style="15" customWidth="1"/>
    <col min="3" max="3" width="33.28515625" style="15" bestFit="1" customWidth="1"/>
    <col min="4" max="4" width="6" customWidth="1"/>
    <col min="5" max="5" width="14.42578125" customWidth="1"/>
    <col min="6" max="6" width="16" customWidth="1"/>
    <col min="7" max="7" width="11.85546875" customWidth="1"/>
    <col min="8" max="8" width="13.140625" customWidth="1"/>
    <col min="9" max="9" width="12" customWidth="1"/>
    <col min="10" max="10" width="18.5703125" customWidth="1"/>
  </cols>
  <sheetData>
    <row r="1" spans="1:10" ht="16.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38.25">
      <c r="A2" s="2" t="s">
        <v>1</v>
      </c>
      <c r="B2" s="11" t="s">
        <v>2</v>
      </c>
      <c r="C2" s="1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0" t="s">
        <v>11</v>
      </c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">
        <v>1</v>
      </c>
      <c r="B4" s="12" t="s">
        <v>98</v>
      </c>
      <c r="C4" s="13"/>
      <c r="D4" s="3">
        <v>1</v>
      </c>
      <c r="E4" s="4" t="str">
        <f>IF(F4&gt;=30000000,"TSCĐ","CCDC")</f>
        <v>TSCĐ</v>
      </c>
      <c r="F4" s="5">
        <v>150000000</v>
      </c>
      <c r="G4" s="6">
        <v>4</v>
      </c>
      <c r="H4" s="6">
        <v>6</v>
      </c>
      <c r="I4" s="7">
        <f>IF(H4&lt;=G4,0,(H4-G4)/H4)</f>
        <v>0.33333333333333331</v>
      </c>
      <c r="J4" s="8">
        <f>D4*F4*I4</f>
        <v>50000000</v>
      </c>
    </row>
    <row r="5" spans="1:10">
      <c r="A5" s="30" t="s">
        <v>12</v>
      </c>
      <c r="B5" s="30"/>
      <c r="C5" s="30"/>
      <c r="D5" s="30"/>
      <c r="E5" s="30"/>
      <c r="F5" s="30"/>
      <c r="G5" s="30"/>
      <c r="H5" s="30"/>
      <c r="I5" s="30"/>
      <c r="J5" s="30"/>
    </row>
    <row r="6" spans="1:10">
      <c r="A6" s="3">
        <v>2</v>
      </c>
      <c r="B6" s="14" t="s">
        <v>13</v>
      </c>
      <c r="C6" s="13" t="s">
        <v>14</v>
      </c>
      <c r="D6" s="3">
        <v>1</v>
      </c>
      <c r="E6" s="4" t="str">
        <f>IF(F6&gt;=30000000,"TSCĐ","CCDC")</f>
        <v>TSCĐ</v>
      </c>
      <c r="F6" s="5">
        <v>280000000</v>
      </c>
      <c r="G6" s="6">
        <v>4</v>
      </c>
      <c r="H6" s="6">
        <v>6</v>
      </c>
      <c r="I6" s="7">
        <f>IF(H6&lt;=G6,0,(H6-G6)/H6)</f>
        <v>0.33333333333333331</v>
      </c>
      <c r="J6" s="8">
        <f>D6*F6*I6</f>
        <v>93333333.333333328</v>
      </c>
    </row>
    <row r="7" spans="1:10">
      <c r="A7" s="30" t="s">
        <v>15</v>
      </c>
      <c r="B7" s="30"/>
      <c r="C7" s="30"/>
      <c r="D7" s="30"/>
      <c r="E7" s="30"/>
      <c r="F7" s="30"/>
      <c r="G7" s="30"/>
      <c r="H7" s="30"/>
      <c r="I7" s="30"/>
      <c r="J7" s="30"/>
    </row>
    <row r="8" spans="1:10">
      <c r="A8" s="3">
        <v>3</v>
      </c>
      <c r="B8" s="14" t="s">
        <v>99</v>
      </c>
      <c r="C8" s="14" t="s">
        <v>16</v>
      </c>
      <c r="D8" s="3">
        <v>1</v>
      </c>
      <c r="E8" s="9" t="str">
        <f t="shared" ref="E8:E24" si="0">IF(F8&gt;=30000000,"TSCĐ","CCDC")</f>
        <v>CCDC</v>
      </c>
      <c r="F8" s="5">
        <v>12000000</v>
      </c>
      <c r="G8" s="6">
        <v>4</v>
      </c>
      <c r="H8" s="6">
        <v>3</v>
      </c>
      <c r="I8" s="7">
        <f t="shared" ref="I8:I24" si="1">IF(H8&lt;=G8,0,(H8-G8)/H8)</f>
        <v>0</v>
      </c>
      <c r="J8" s="8">
        <f t="shared" ref="J8:J24" si="2">D8*F8*I8</f>
        <v>0</v>
      </c>
    </row>
    <row r="9" spans="1:10">
      <c r="A9" s="3">
        <v>4</v>
      </c>
      <c r="B9" s="14" t="s">
        <v>99</v>
      </c>
      <c r="C9" s="14" t="s">
        <v>17</v>
      </c>
      <c r="D9" s="3">
        <v>1</v>
      </c>
      <c r="E9" s="4" t="str">
        <f t="shared" si="0"/>
        <v>TSCĐ</v>
      </c>
      <c r="F9" s="5">
        <v>45000000</v>
      </c>
      <c r="G9" s="6">
        <v>4</v>
      </c>
      <c r="H9" s="6">
        <v>6</v>
      </c>
      <c r="I9" s="7">
        <f t="shared" si="1"/>
        <v>0.33333333333333331</v>
      </c>
      <c r="J9" s="8">
        <f t="shared" si="2"/>
        <v>15000000</v>
      </c>
    </row>
    <row r="10" spans="1:10">
      <c r="A10" s="3">
        <v>5</v>
      </c>
      <c r="B10" s="14" t="s">
        <v>22</v>
      </c>
      <c r="C10" s="14" t="s">
        <v>100</v>
      </c>
      <c r="D10" s="3">
        <v>1</v>
      </c>
      <c r="E10" s="9" t="str">
        <f t="shared" si="0"/>
        <v>CCDC</v>
      </c>
      <c r="F10" s="5">
        <v>10000000</v>
      </c>
      <c r="G10" s="6">
        <v>4</v>
      </c>
      <c r="H10" s="6">
        <v>3</v>
      </c>
      <c r="I10" s="7">
        <f t="shared" si="1"/>
        <v>0</v>
      </c>
      <c r="J10" s="8">
        <f t="shared" si="2"/>
        <v>0</v>
      </c>
    </row>
    <row r="11" spans="1:10">
      <c r="A11" s="3">
        <v>6</v>
      </c>
      <c r="B11" s="14" t="s">
        <v>19</v>
      </c>
      <c r="C11" s="14" t="s">
        <v>18</v>
      </c>
      <c r="D11" s="3">
        <v>1</v>
      </c>
      <c r="E11" s="4" t="str">
        <f t="shared" si="0"/>
        <v>TSCĐ</v>
      </c>
      <c r="F11" s="5">
        <v>40000000</v>
      </c>
      <c r="G11" s="6">
        <v>4</v>
      </c>
      <c r="H11" s="6">
        <v>5</v>
      </c>
      <c r="I11" s="7">
        <f t="shared" si="1"/>
        <v>0.2</v>
      </c>
      <c r="J11" s="8">
        <f t="shared" si="2"/>
        <v>8000000</v>
      </c>
    </row>
    <row r="12" spans="1:10">
      <c r="A12" s="3">
        <v>7</v>
      </c>
      <c r="B12" s="14" t="s">
        <v>19</v>
      </c>
      <c r="C12" s="14" t="s">
        <v>20</v>
      </c>
      <c r="D12" s="3">
        <v>1</v>
      </c>
      <c r="E12" s="4" t="str">
        <f t="shared" si="0"/>
        <v>TSCĐ</v>
      </c>
      <c r="F12" s="5">
        <v>40000000</v>
      </c>
      <c r="G12" s="6">
        <v>4</v>
      </c>
      <c r="H12" s="6">
        <v>5</v>
      </c>
      <c r="I12" s="7">
        <f t="shared" si="1"/>
        <v>0.2</v>
      </c>
      <c r="J12" s="8">
        <f t="shared" si="2"/>
        <v>8000000</v>
      </c>
    </row>
    <row r="13" spans="1:10">
      <c r="A13" s="3">
        <v>8</v>
      </c>
      <c r="B13" s="14" t="s">
        <v>19</v>
      </c>
      <c r="C13" s="14" t="s">
        <v>21</v>
      </c>
      <c r="D13" s="3">
        <v>1</v>
      </c>
      <c r="E13" s="4" t="str">
        <f t="shared" si="0"/>
        <v>TSCĐ</v>
      </c>
      <c r="F13" s="5">
        <v>35000000</v>
      </c>
      <c r="G13" s="6">
        <v>4</v>
      </c>
      <c r="H13" s="6">
        <v>5</v>
      </c>
      <c r="I13" s="7">
        <f t="shared" si="1"/>
        <v>0.2</v>
      </c>
      <c r="J13" s="8">
        <f t="shared" si="2"/>
        <v>7000000</v>
      </c>
    </row>
    <row r="14" spans="1:10">
      <c r="A14" s="3">
        <v>9</v>
      </c>
      <c r="B14" s="14" t="s">
        <v>22</v>
      </c>
      <c r="C14" s="14" t="s">
        <v>101</v>
      </c>
      <c r="D14" s="3">
        <v>1</v>
      </c>
      <c r="E14" s="9" t="str">
        <f t="shared" si="0"/>
        <v>CCDC</v>
      </c>
      <c r="F14" s="5">
        <v>10000000</v>
      </c>
      <c r="G14" s="6">
        <v>4</v>
      </c>
      <c r="H14" s="6">
        <v>3</v>
      </c>
      <c r="I14" s="7">
        <f t="shared" si="1"/>
        <v>0</v>
      </c>
      <c r="J14" s="8">
        <f t="shared" si="2"/>
        <v>0</v>
      </c>
    </row>
    <row r="15" spans="1:10">
      <c r="A15" s="3">
        <v>10</v>
      </c>
      <c r="B15" s="14" t="s">
        <v>23</v>
      </c>
      <c r="C15" s="14" t="s">
        <v>24</v>
      </c>
      <c r="D15" s="3">
        <v>1</v>
      </c>
      <c r="E15" s="9" t="str">
        <f t="shared" si="0"/>
        <v>CCDC</v>
      </c>
      <c r="F15" s="5">
        <v>18000000</v>
      </c>
      <c r="G15" s="6">
        <v>4</v>
      </c>
      <c r="H15" s="6">
        <v>3</v>
      </c>
      <c r="I15" s="7">
        <f t="shared" si="1"/>
        <v>0</v>
      </c>
      <c r="J15" s="8">
        <f t="shared" si="2"/>
        <v>0</v>
      </c>
    </row>
    <row r="16" spans="1:10">
      <c r="A16" s="3">
        <v>11</v>
      </c>
      <c r="B16" s="14" t="s">
        <v>23</v>
      </c>
      <c r="C16" s="14" t="s">
        <v>25</v>
      </c>
      <c r="D16" s="3">
        <v>1</v>
      </c>
      <c r="E16" s="9" t="str">
        <f t="shared" si="0"/>
        <v>CCDC</v>
      </c>
      <c r="F16" s="5">
        <v>18000000</v>
      </c>
      <c r="G16" s="6">
        <v>4</v>
      </c>
      <c r="H16" s="6">
        <v>3</v>
      </c>
      <c r="I16" s="7">
        <f t="shared" si="1"/>
        <v>0</v>
      </c>
      <c r="J16" s="8">
        <f t="shared" si="2"/>
        <v>0</v>
      </c>
    </row>
    <row r="17" spans="1:10">
      <c r="A17" s="3">
        <v>12</v>
      </c>
      <c r="B17" s="14" t="s">
        <v>26</v>
      </c>
      <c r="C17" s="14" t="s">
        <v>27</v>
      </c>
      <c r="D17" s="3">
        <v>1</v>
      </c>
      <c r="E17" s="9" t="str">
        <f t="shared" si="0"/>
        <v>CCDC</v>
      </c>
      <c r="F17" s="5">
        <v>6000000</v>
      </c>
      <c r="G17" s="6">
        <v>4</v>
      </c>
      <c r="H17" s="6">
        <v>3</v>
      </c>
      <c r="I17" s="7">
        <f t="shared" si="1"/>
        <v>0</v>
      </c>
      <c r="J17" s="8">
        <f t="shared" si="2"/>
        <v>0</v>
      </c>
    </row>
    <row r="18" spans="1:10">
      <c r="A18" s="3">
        <v>13</v>
      </c>
      <c r="B18" s="14" t="s">
        <v>26</v>
      </c>
      <c r="C18" s="14" t="s">
        <v>28</v>
      </c>
      <c r="D18" s="3">
        <v>1</v>
      </c>
      <c r="E18" s="9" t="str">
        <f t="shared" si="0"/>
        <v>CCDC</v>
      </c>
      <c r="F18" s="5">
        <v>8000000</v>
      </c>
      <c r="G18" s="6">
        <v>4</v>
      </c>
      <c r="H18" s="6">
        <v>3</v>
      </c>
      <c r="I18" s="7">
        <f t="shared" si="1"/>
        <v>0</v>
      </c>
      <c r="J18" s="8">
        <f t="shared" si="2"/>
        <v>0</v>
      </c>
    </row>
    <row r="19" spans="1:10">
      <c r="A19" s="3">
        <v>14</v>
      </c>
      <c r="B19" s="14" t="s">
        <v>26</v>
      </c>
      <c r="C19" s="14" t="s">
        <v>29</v>
      </c>
      <c r="D19" s="3">
        <v>1</v>
      </c>
      <c r="E19" s="9" t="str">
        <f t="shared" si="0"/>
        <v>CCDC</v>
      </c>
      <c r="F19" s="5">
        <v>6500000</v>
      </c>
      <c r="G19" s="6">
        <v>4</v>
      </c>
      <c r="H19" s="6">
        <v>3</v>
      </c>
      <c r="I19" s="7">
        <f t="shared" si="1"/>
        <v>0</v>
      </c>
      <c r="J19" s="8">
        <f t="shared" si="2"/>
        <v>0</v>
      </c>
    </row>
    <row r="20" spans="1:10">
      <c r="A20" s="3">
        <v>15</v>
      </c>
      <c r="B20" s="14" t="s">
        <v>102</v>
      </c>
      <c r="C20" s="14" t="s">
        <v>30</v>
      </c>
      <c r="D20" s="3">
        <v>1</v>
      </c>
      <c r="E20" s="9" t="str">
        <f t="shared" si="0"/>
        <v>CCDC</v>
      </c>
      <c r="F20" s="5">
        <v>15000000</v>
      </c>
      <c r="G20" s="6">
        <v>4</v>
      </c>
      <c r="H20" s="6">
        <v>3</v>
      </c>
      <c r="I20" s="7">
        <f t="shared" si="1"/>
        <v>0</v>
      </c>
      <c r="J20" s="8">
        <f t="shared" si="2"/>
        <v>0</v>
      </c>
    </row>
    <row r="21" spans="1:10">
      <c r="A21" s="3">
        <v>16</v>
      </c>
      <c r="B21" s="14" t="s">
        <v>102</v>
      </c>
      <c r="C21" s="14" t="s">
        <v>103</v>
      </c>
      <c r="D21" s="3">
        <v>1</v>
      </c>
      <c r="E21" s="9" t="str">
        <f t="shared" si="0"/>
        <v>CCDC</v>
      </c>
      <c r="F21" s="5">
        <v>12000000</v>
      </c>
      <c r="G21" s="6">
        <v>4</v>
      </c>
      <c r="H21" s="6">
        <v>3</v>
      </c>
      <c r="I21" s="7">
        <f t="shared" si="1"/>
        <v>0</v>
      </c>
      <c r="J21" s="8">
        <f t="shared" si="2"/>
        <v>0</v>
      </c>
    </row>
    <row r="22" spans="1:10">
      <c r="A22" s="3">
        <v>17</v>
      </c>
      <c r="B22" s="14" t="s">
        <v>104</v>
      </c>
      <c r="C22" s="14"/>
      <c r="D22" s="3">
        <v>1</v>
      </c>
      <c r="E22" s="9" t="str">
        <f t="shared" si="0"/>
        <v>CCDC</v>
      </c>
      <c r="F22" s="5">
        <v>7000000</v>
      </c>
      <c r="G22" s="6">
        <v>4</v>
      </c>
      <c r="H22" s="6">
        <v>3</v>
      </c>
      <c r="I22" s="7">
        <f t="shared" si="1"/>
        <v>0</v>
      </c>
      <c r="J22" s="8">
        <f t="shared" si="2"/>
        <v>0</v>
      </c>
    </row>
    <row r="23" spans="1:10">
      <c r="A23" s="3">
        <v>18</v>
      </c>
      <c r="B23" s="14" t="s">
        <v>105</v>
      </c>
      <c r="C23" s="14" t="s">
        <v>31</v>
      </c>
      <c r="D23" s="3">
        <v>1</v>
      </c>
      <c r="E23" s="9" t="str">
        <f t="shared" si="0"/>
        <v>CCDC</v>
      </c>
      <c r="F23" s="5">
        <v>8000000</v>
      </c>
      <c r="G23" s="6">
        <v>4</v>
      </c>
      <c r="H23" s="6">
        <v>3</v>
      </c>
      <c r="I23" s="7">
        <f t="shared" si="1"/>
        <v>0</v>
      </c>
      <c r="J23" s="8">
        <f t="shared" si="2"/>
        <v>0</v>
      </c>
    </row>
    <row r="24" spans="1:10">
      <c r="A24" s="3">
        <v>19</v>
      </c>
      <c r="B24" s="14" t="s">
        <v>106</v>
      </c>
      <c r="C24" s="14" t="s">
        <v>32</v>
      </c>
      <c r="D24" s="3">
        <v>1</v>
      </c>
      <c r="E24" s="9" t="str">
        <f t="shared" si="0"/>
        <v>CCDC</v>
      </c>
      <c r="F24" s="5">
        <v>15000000</v>
      </c>
      <c r="G24" s="6">
        <v>4</v>
      </c>
      <c r="H24" s="6">
        <v>3</v>
      </c>
      <c r="I24" s="7">
        <f t="shared" si="1"/>
        <v>0</v>
      </c>
      <c r="J24" s="8">
        <f t="shared" si="2"/>
        <v>0</v>
      </c>
    </row>
    <row r="25" spans="1:10">
      <c r="A25" s="30" t="s">
        <v>33</v>
      </c>
      <c r="B25" s="30"/>
      <c r="C25" s="30"/>
      <c r="D25" s="30"/>
      <c r="E25" s="30"/>
      <c r="F25" s="30"/>
      <c r="G25" s="30"/>
      <c r="H25" s="30"/>
      <c r="I25" s="30"/>
      <c r="J25" s="30"/>
    </row>
    <row r="26" spans="1:10">
      <c r="A26" s="3">
        <v>20</v>
      </c>
      <c r="B26" s="14" t="s">
        <v>107</v>
      </c>
      <c r="C26" s="14" t="s">
        <v>108</v>
      </c>
      <c r="D26" s="3">
        <v>8</v>
      </c>
      <c r="E26" s="9" t="str">
        <f t="shared" ref="E26:E57" si="3">IF(F26&gt;=30000000,"TSCĐ","CCDC")</f>
        <v>CCDC</v>
      </c>
      <c r="F26" s="5">
        <v>300000</v>
      </c>
      <c r="G26" s="6">
        <v>4</v>
      </c>
      <c r="H26" s="6">
        <v>3</v>
      </c>
      <c r="I26" s="7">
        <f t="shared" ref="I26:I57" si="4">IF(H26&lt;=G26,0,(H26-G26)/H26)</f>
        <v>0</v>
      </c>
      <c r="J26" s="8">
        <f t="shared" ref="J26:J57" si="5">D26*F26*I26</f>
        <v>0</v>
      </c>
    </row>
    <row r="27" spans="1:10">
      <c r="A27" s="3">
        <v>21</v>
      </c>
      <c r="B27" s="14" t="s">
        <v>109</v>
      </c>
      <c r="C27" s="14" t="s">
        <v>34</v>
      </c>
      <c r="D27" s="3">
        <v>5</v>
      </c>
      <c r="E27" s="9" t="str">
        <f t="shared" si="3"/>
        <v>CCDC</v>
      </c>
      <c r="F27" s="5">
        <v>2500000</v>
      </c>
      <c r="G27" s="6">
        <v>4</v>
      </c>
      <c r="H27" s="6">
        <v>3</v>
      </c>
      <c r="I27" s="7">
        <f t="shared" si="4"/>
        <v>0</v>
      </c>
      <c r="J27" s="8">
        <f t="shared" si="5"/>
        <v>0</v>
      </c>
    </row>
    <row r="28" spans="1:10">
      <c r="A28" s="3">
        <v>22</v>
      </c>
      <c r="B28" s="14" t="s">
        <v>107</v>
      </c>
      <c r="C28" s="14" t="s">
        <v>110</v>
      </c>
      <c r="D28" s="3">
        <v>1</v>
      </c>
      <c r="E28" s="9" t="str">
        <f t="shared" si="3"/>
        <v>CCDC</v>
      </c>
      <c r="F28" s="5">
        <v>3000000</v>
      </c>
      <c r="G28" s="6">
        <v>4</v>
      </c>
      <c r="H28" s="6">
        <v>3</v>
      </c>
      <c r="I28" s="7">
        <f t="shared" si="4"/>
        <v>0</v>
      </c>
      <c r="J28" s="8">
        <f t="shared" si="5"/>
        <v>0</v>
      </c>
    </row>
    <row r="29" spans="1:10">
      <c r="A29" s="3">
        <v>23</v>
      </c>
      <c r="B29" s="14" t="s">
        <v>111</v>
      </c>
      <c r="C29" s="14"/>
      <c r="D29" s="3">
        <v>1</v>
      </c>
      <c r="E29" s="9" t="str">
        <f t="shared" si="3"/>
        <v>CCDC</v>
      </c>
      <c r="F29" s="5">
        <v>2000000</v>
      </c>
      <c r="G29" s="6">
        <v>4</v>
      </c>
      <c r="H29" s="6">
        <v>3</v>
      </c>
      <c r="I29" s="7">
        <f t="shared" si="4"/>
        <v>0</v>
      </c>
      <c r="J29" s="8">
        <f t="shared" si="5"/>
        <v>0</v>
      </c>
    </row>
    <row r="30" spans="1:10">
      <c r="A30" s="3">
        <v>24</v>
      </c>
      <c r="B30" s="14" t="s">
        <v>112</v>
      </c>
      <c r="C30" s="14" t="s">
        <v>35</v>
      </c>
      <c r="D30" s="3">
        <v>2</v>
      </c>
      <c r="E30" s="9" t="str">
        <f t="shared" si="3"/>
        <v>CCDC</v>
      </c>
      <c r="F30" s="5">
        <v>3500000</v>
      </c>
      <c r="G30" s="6">
        <v>4</v>
      </c>
      <c r="H30" s="6">
        <v>3</v>
      </c>
      <c r="I30" s="7">
        <f t="shared" si="4"/>
        <v>0</v>
      </c>
      <c r="J30" s="8">
        <f t="shared" si="5"/>
        <v>0</v>
      </c>
    </row>
    <row r="31" spans="1:10">
      <c r="A31" s="3">
        <v>25</v>
      </c>
      <c r="B31" s="14" t="s">
        <v>113</v>
      </c>
      <c r="C31" s="14" t="s">
        <v>114</v>
      </c>
      <c r="D31" s="3">
        <v>2</v>
      </c>
      <c r="E31" s="9" t="str">
        <f t="shared" si="3"/>
        <v>CCDC</v>
      </c>
      <c r="F31" s="5">
        <v>3000000</v>
      </c>
      <c r="G31" s="6">
        <v>4</v>
      </c>
      <c r="H31" s="6">
        <v>3</v>
      </c>
      <c r="I31" s="7">
        <f t="shared" si="4"/>
        <v>0</v>
      </c>
      <c r="J31" s="8">
        <f t="shared" si="5"/>
        <v>0</v>
      </c>
    </row>
    <row r="32" spans="1:10">
      <c r="A32" s="3">
        <v>26</v>
      </c>
      <c r="B32" s="14" t="s">
        <v>113</v>
      </c>
      <c r="C32" s="14" t="s">
        <v>114</v>
      </c>
      <c r="D32" s="3">
        <v>1</v>
      </c>
      <c r="E32" s="9" t="str">
        <f t="shared" si="3"/>
        <v>CCDC</v>
      </c>
      <c r="F32" s="5">
        <v>3000000</v>
      </c>
      <c r="G32" s="6">
        <v>4</v>
      </c>
      <c r="H32" s="6">
        <v>3</v>
      </c>
      <c r="I32" s="7">
        <f t="shared" si="4"/>
        <v>0</v>
      </c>
      <c r="J32" s="8">
        <f t="shared" si="5"/>
        <v>0</v>
      </c>
    </row>
    <row r="33" spans="1:10">
      <c r="A33" s="3">
        <v>27</v>
      </c>
      <c r="B33" s="14" t="s">
        <v>113</v>
      </c>
      <c r="C33" s="14" t="s">
        <v>114</v>
      </c>
      <c r="D33" s="3">
        <v>2</v>
      </c>
      <c r="E33" s="9" t="str">
        <f t="shared" si="3"/>
        <v>CCDC</v>
      </c>
      <c r="F33" s="5">
        <v>3000000</v>
      </c>
      <c r="G33" s="6">
        <v>4</v>
      </c>
      <c r="H33" s="6">
        <v>3</v>
      </c>
      <c r="I33" s="7">
        <f t="shared" si="4"/>
        <v>0</v>
      </c>
      <c r="J33" s="8">
        <f t="shared" si="5"/>
        <v>0</v>
      </c>
    </row>
    <row r="34" spans="1:10">
      <c r="A34" s="3">
        <v>28</v>
      </c>
      <c r="B34" s="14" t="s">
        <v>36</v>
      </c>
      <c r="C34" s="14" t="s">
        <v>37</v>
      </c>
      <c r="D34" s="3">
        <v>1</v>
      </c>
      <c r="E34" s="9" t="str">
        <f t="shared" si="3"/>
        <v>CCDC</v>
      </c>
      <c r="F34" s="5">
        <v>4000000</v>
      </c>
      <c r="G34" s="6">
        <v>4</v>
      </c>
      <c r="H34" s="6">
        <v>3</v>
      </c>
      <c r="I34" s="7">
        <f t="shared" si="4"/>
        <v>0</v>
      </c>
      <c r="J34" s="8">
        <f t="shared" si="5"/>
        <v>0</v>
      </c>
    </row>
    <row r="35" spans="1:10">
      <c r="A35" s="3">
        <v>29</v>
      </c>
      <c r="B35" s="14" t="s">
        <v>38</v>
      </c>
      <c r="C35" s="14" t="s">
        <v>39</v>
      </c>
      <c r="D35" s="3">
        <v>1</v>
      </c>
      <c r="E35" s="9" t="str">
        <f t="shared" si="3"/>
        <v>CCDC</v>
      </c>
      <c r="F35" s="5">
        <v>3500000</v>
      </c>
      <c r="G35" s="6">
        <v>4</v>
      </c>
      <c r="H35" s="6">
        <v>3</v>
      </c>
      <c r="I35" s="7">
        <f t="shared" si="4"/>
        <v>0</v>
      </c>
      <c r="J35" s="8">
        <f t="shared" si="5"/>
        <v>0</v>
      </c>
    </row>
    <row r="36" spans="1:10">
      <c r="A36" s="3">
        <v>30</v>
      </c>
      <c r="B36" s="14" t="s">
        <v>40</v>
      </c>
      <c r="C36" s="14" t="s">
        <v>41</v>
      </c>
      <c r="D36" s="3">
        <v>1</v>
      </c>
      <c r="E36" s="9" t="str">
        <f t="shared" si="3"/>
        <v>CCDC</v>
      </c>
      <c r="F36" s="5">
        <v>3500000</v>
      </c>
      <c r="G36" s="6">
        <v>4</v>
      </c>
      <c r="H36" s="6">
        <v>3</v>
      </c>
      <c r="I36" s="7">
        <f t="shared" si="4"/>
        <v>0</v>
      </c>
      <c r="J36" s="8">
        <f t="shared" si="5"/>
        <v>0</v>
      </c>
    </row>
    <row r="37" spans="1:10">
      <c r="A37" s="3">
        <v>31</v>
      </c>
      <c r="B37" s="14" t="s">
        <v>42</v>
      </c>
      <c r="C37" s="14"/>
      <c r="D37" s="3">
        <v>7</v>
      </c>
      <c r="E37" s="9" t="str">
        <f t="shared" si="3"/>
        <v>CCDC</v>
      </c>
      <c r="F37" s="5">
        <v>1500000</v>
      </c>
      <c r="G37" s="6">
        <v>4</v>
      </c>
      <c r="H37" s="6">
        <v>3</v>
      </c>
      <c r="I37" s="7">
        <f t="shared" si="4"/>
        <v>0</v>
      </c>
      <c r="J37" s="8">
        <f t="shared" si="5"/>
        <v>0</v>
      </c>
    </row>
    <row r="38" spans="1:10">
      <c r="A38" s="3">
        <v>32</v>
      </c>
      <c r="B38" s="14" t="s">
        <v>43</v>
      </c>
      <c r="C38" s="14"/>
      <c r="D38" s="3">
        <v>6</v>
      </c>
      <c r="E38" s="9" t="str">
        <f t="shared" si="3"/>
        <v>CCDC</v>
      </c>
      <c r="F38" s="5">
        <v>1500000</v>
      </c>
      <c r="G38" s="6">
        <v>4</v>
      </c>
      <c r="H38" s="6">
        <v>3</v>
      </c>
      <c r="I38" s="7">
        <f t="shared" si="4"/>
        <v>0</v>
      </c>
      <c r="J38" s="8">
        <f t="shared" si="5"/>
        <v>0</v>
      </c>
    </row>
    <row r="39" spans="1:10">
      <c r="A39" s="3">
        <v>33</v>
      </c>
      <c r="B39" s="14" t="s">
        <v>44</v>
      </c>
      <c r="C39" s="14" t="s">
        <v>115</v>
      </c>
      <c r="D39" s="3">
        <v>1</v>
      </c>
      <c r="E39" s="9" t="str">
        <f t="shared" si="3"/>
        <v>CCDC</v>
      </c>
      <c r="F39" s="5">
        <v>1200000</v>
      </c>
      <c r="G39" s="6">
        <v>4</v>
      </c>
      <c r="H39" s="6">
        <v>3</v>
      </c>
      <c r="I39" s="7">
        <f t="shared" si="4"/>
        <v>0</v>
      </c>
      <c r="J39" s="8">
        <f t="shared" si="5"/>
        <v>0</v>
      </c>
    </row>
    <row r="40" spans="1:10">
      <c r="A40" s="3">
        <v>34</v>
      </c>
      <c r="B40" s="14" t="s">
        <v>116</v>
      </c>
      <c r="C40" s="14" t="s">
        <v>117</v>
      </c>
      <c r="D40" s="3">
        <v>1</v>
      </c>
      <c r="E40" s="9" t="str">
        <f t="shared" si="3"/>
        <v>CCDC</v>
      </c>
      <c r="F40" s="5">
        <v>1500000</v>
      </c>
      <c r="G40" s="6">
        <v>4</v>
      </c>
      <c r="H40" s="6">
        <v>3</v>
      </c>
      <c r="I40" s="7">
        <f t="shared" si="4"/>
        <v>0</v>
      </c>
      <c r="J40" s="8">
        <f t="shared" si="5"/>
        <v>0</v>
      </c>
    </row>
    <row r="41" spans="1:10">
      <c r="A41" s="3">
        <v>35</v>
      </c>
      <c r="B41" s="14" t="s">
        <v>45</v>
      </c>
      <c r="C41" s="14" t="s">
        <v>118</v>
      </c>
      <c r="D41" s="3">
        <v>1</v>
      </c>
      <c r="E41" s="9" t="str">
        <f t="shared" si="3"/>
        <v>CCDC</v>
      </c>
      <c r="F41" s="5">
        <v>1800000</v>
      </c>
      <c r="G41" s="6">
        <v>4</v>
      </c>
      <c r="H41" s="6">
        <v>3</v>
      </c>
      <c r="I41" s="7">
        <f t="shared" si="4"/>
        <v>0</v>
      </c>
      <c r="J41" s="8">
        <f t="shared" si="5"/>
        <v>0</v>
      </c>
    </row>
    <row r="42" spans="1:10">
      <c r="A42" s="3">
        <v>36</v>
      </c>
      <c r="B42" s="14" t="s">
        <v>46</v>
      </c>
      <c r="C42" s="14" t="s">
        <v>119</v>
      </c>
      <c r="D42" s="3">
        <v>1</v>
      </c>
      <c r="E42" s="9" t="str">
        <f t="shared" si="3"/>
        <v>CCDC</v>
      </c>
      <c r="F42" s="5">
        <v>2500000</v>
      </c>
      <c r="G42" s="6">
        <v>4</v>
      </c>
      <c r="H42" s="6">
        <v>3</v>
      </c>
      <c r="I42" s="7">
        <f t="shared" si="4"/>
        <v>0</v>
      </c>
      <c r="J42" s="8">
        <f t="shared" si="5"/>
        <v>0</v>
      </c>
    </row>
    <row r="43" spans="1:10">
      <c r="A43" s="3">
        <v>37</v>
      </c>
      <c r="B43" s="14" t="s">
        <v>120</v>
      </c>
      <c r="C43" s="14" t="s">
        <v>121</v>
      </c>
      <c r="D43" s="3">
        <v>1</v>
      </c>
      <c r="E43" s="9" t="str">
        <f t="shared" si="3"/>
        <v>CCDC</v>
      </c>
      <c r="F43" s="5">
        <v>3000000</v>
      </c>
      <c r="G43" s="6">
        <v>4</v>
      </c>
      <c r="H43" s="6">
        <v>3</v>
      </c>
      <c r="I43" s="7">
        <f t="shared" si="4"/>
        <v>0</v>
      </c>
      <c r="J43" s="8">
        <f t="shared" si="5"/>
        <v>0</v>
      </c>
    </row>
    <row r="44" spans="1:10">
      <c r="A44" s="3">
        <v>38</v>
      </c>
      <c r="B44" s="14" t="s">
        <v>122</v>
      </c>
      <c r="C44" s="14" t="s">
        <v>48</v>
      </c>
      <c r="D44" s="3">
        <v>1</v>
      </c>
      <c r="E44" s="9" t="str">
        <f t="shared" si="3"/>
        <v>CCDC</v>
      </c>
      <c r="F44" s="5">
        <v>1500000</v>
      </c>
      <c r="G44" s="6">
        <v>4</v>
      </c>
      <c r="H44" s="6">
        <v>3</v>
      </c>
      <c r="I44" s="7">
        <f t="shared" si="4"/>
        <v>0</v>
      </c>
      <c r="J44" s="8">
        <f t="shared" si="5"/>
        <v>0</v>
      </c>
    </row>
    <row r="45" spans="1:10">
      <c r="A45" s="3">
        <v>39</v>
      </c>
      <c r="B45" s="14" t="s">
        <v>47</v>
      </c>
      <c r="C45" s="14" t="s">
        <v>123</v>
      </c>
      <c r="D45" s="3">
        <v>1</v>
      </c>
      <c r="E45" s="9" t="str">
        <f t="shared" si="3"/>
        <v>CCDC</v>
      </c>
      <c r="F45" s="5">
        <v>1200000</v>
      </c>
      <c r="G45" s="6">
        <v>4</v>
      </c>
      <c r="H45" s="6">
        <v>3</v>
      </c>
      <c r="I45" s="7">
        <f t="shared" si="4"/>
        <v>0</v>
      </c>
      <c r="J45" s="8">
        <f t="shared" si="5"/>
        <v>0</v>
      </c>
    </row>
    <row r="46" spans="1:10">
      <c r="A46" s="3">
        <v>40</v>
      </c>
      <c r="B46" s="14" t="s">
        <v>47</v>
      </c>
      <c r="C46" s="14" t="s">
        <v>124</v>
      </c>
      <c r="D46" s="3">
        <v>1</v>
      </c>
      <c r="E46" s="9" t="str">
        <f t="shared" si="3"/>
        <v>CCDC</v>
      </c>
      <c r="F46" s="5">
        <v>1500000</v>
      </c>
      <c r="G46" s="6">
        <v>4</v>
      </c>
      <c r="H46" s="6">
        <v>3</v>
      </c>
      <c r="I46" s="7">
        <f t="shared" si="4"/>
        <v>0</v>
      </c>
      <c r="J46" s="8">
        <f t="shared" si="5"/>
        <v>0</v>
      </c>
    </row>
    <row r="47" spans="1:10">
      <c r="A47" s="3">
        <v>41</v>
      </c>
      <c r="B47" s="14" t="s">
        <v>47</v>
      </c>
      <c r="C47" s="14" t="s">
        <v>125</v>
      </c>
      <c r="D47" s="3">
        <v>1</v>
      </c>
      <c r="E47" s="9" t="str">
        <f t="shared" si="3"/>
        <v>CCDC</v>
      </c>
      <c r="F47" s="5">
        <v>1500000</v>
      </c>
      <c r="G47" s="6">
        <v>4</v>
      </c>
      <c r="H47" s="6">
        <v>3</v>
      </c>
      <c r="I47" s="7">
        <f t="shared" si="4"/>
        <v>0</v>
      </c>
      <c r="J47" s="8">
        <f t="shared" si="5"/>
        <v>0</v>
      </c>
    </row>
    <row r="48" spans="1:10">
      <c r="A48" s="3">
        <v>42</v>
      </c>
      <c r="B48" s="14" t="s">
        <v>126</v>
      </c>
      <c r="C48" s="14"/>
      <c r="D48" s="3">
        <v>4</v>
      </c>
      <c r="E48" s="9" t="str">
        <f t="shared" si="3"/>
        <v>CCDC</v>
      </c>
      <c r="F48" s="5">
        <v>350000</v>
      </c>
      <c r="G48" s="6">
        <v>4</v>
      </c>
      <c r="H48" s="6">
        <v>3</v>
      </c>
      <c r="I48" s="7">
        <f t="shared" si="4"/>
        <v>0</v>
      </c>
      <c r="J48" s="8">
        <f t="shared" si="5"/>
        <v>0</v>
      </c>
    </row>
    <row r="49" spans="1:10">
      <c r="A49" s="3">
        <v>43</v>
      </c>
      <c r="B49" s="14" t="s">
        <v>49</v>
      </c>
      <c r="C49" s="14"/>
      <c r="D49" s="3">
        <v>1</v>
      </c>
      <c r="E49" s="9" t="str">
        <f t="shared" si="3"/>
        <v>CCDC</v>
      </c>
      <c r="F49" s="5">
        <v>800000</v>
      </c>
      <c r="G49" s="6">
        <v>4</v>
      </c>
      <c r="H49" s="6">
        <v>3</v>
      </c>
      <c r="I49" s="7">
        <f t="shared" si="4"/>
        <v>0</v>
      </c>
      <c r="J49" s="8">
        <f t="shared" si="5"/>
        <v>0</v>
      </c>
    </row>
    <row r="50" spans="1:10">
      <c r="A50" s="3">
        <v>44</v>
      </c>
      <c r="B50" s="14" t="s">
        <v>50</v>
      </c>
      <c r="C50" s="14"/>
      <c r="D50" s="3">
        <v>3</v>
      </c>
      <c r="E50" s="9" t="str">
        <f t="shared" si="3"/>
        <v>CCDC</v>
      </c>
      <c r="F50" s="5">
        <v>600000</v>
      </c>
      <c r="G50" s="6">
        <v>4</v>
      </c>
      <c r="H50" s="6">
        <v>3</v>
      </c>
      <c r="I50" s="7">
        <f t="shared" si="4"/>
        <v>0</v>
      </c>
      <c r="J50" s="8">
        <f t="shared" si="5"/>
        <v>0</v>
      </c>
    </row>
    <row r="51" spans="1:10">
      <c r="A51" s="3">
        <v>45</v>
      </c>
      <c r="B51" s="14" t="s">
        <v>127</v>
      </c>
      <c r="C51" s="14"/>
      <c r="D51" s="3">
        <v>3</v>
      </c>
      <c r="E51" s="9" t="str">
        <f t="shared" si="3"/>
        <v>CCDC</v>
      </c>
      <c r="F51" s="5">
        <v>500000</v>
      </c>
      <c r="G51" s="6">
        <v>4</v>
      </c>
      <c r="H51" s="6">
        <v>3</v>
      </c>
      <c r="I51" s="7">
        <f t="shared" si="4"/>
        <v>0</v>
      </c>
      <c r="J51" s="8">
        <f t="shared" si="5"/>
        <v>0</v>
      </c>
    </row>
    <row r="52" spans="1:10">
      <c r="A52" s="3">
        <v>46</v>
      </c>
      <c r="B52" s="14" t="s">
        <v>51</v>
      </c>
      <c r="C52" s="14"/>
      <c r="D52" s="3">
        <v>2</v>
      </c>
      <c r="E52" s="9" t="str">
        <f t="shared" si="3"/>
        <v>CCDC</v>
      </c>
      <c r="F52" s="5">
        <v>700000</v>
      </c>
      <c r="G52" s="6">
        <v>4</v>
      </c>
      <c r="H52" s="6">
        <v>3</v>
      </c>
      <c r="I52" s="7">
        <f t="shared" si="4"/>
        <v>0</v>
      </c>
      <c r="J52" s="8">
        <f t="shared" si="5"/>
        <v>0</v>
      </c>
    </row>
    <row r="53" spans="1:10">
      <c r="A53" s="3">
        <v>47</v>
      </c>
      <c r="B53" s="14" t="s">
        <v>52</v>
      </c>
      <c r="C53" s="14"/>
      <c r="D53" s="3">
        <v>1</v>
      </c>
      <c r="E53" s="9" t="str">
        <f t="shared" si="3"/>
        <v>CCDC</v>
      </c>
      <c r="F53" s="5">
        <v>500000</v>
      </c>
      <c r="G53" s="6">
        <v>4</v>
      </c>
      <c r="H53" s="6">
        <v>3</v>
      </c>
      <c r="I53" s="7">
        <f t="shared" si="4"/>
        <v>0</v>
      </c>
      <c r="J53" s="8">
        <f t="shared" si="5"/>
        <v>0</v>
      </c>
    </row>
    <row r="54" spans="1:10">
      <c r="A54" s="3">
        <v>48</v>
      </c>
      <c r="B54" s="14" t="s">
        <v>53</v>
      </c>
      <c r="C54" s="14" t="s">
        <v>128</v>
      </c>
      <c r="D54" s="3">
        <v>1</v>
      </c>
      <c r="E54" s="9" t="str">
        <f t="shared" si="3"/>
        <v>CCDC</v>
      </c>
      <c r="F54" s="5">
        <v>1800000</v>
      </c>
      <c r="G54" s="6">
        <v>4</v>
      </c>
      <c r="H54" s="6">
        <v>3</v>
      </c>
      <c r="I54" s="7">
        <f t="shared" si="4"/>
        <v>0</v>
      </c>
      <c r="J54" s="8">
        <f t="shared" si="5"/>
        <v>0</v>
      </c>
    </row>
    <row r="55" spans="1:10">
      <c r="A55" s="3">
        <v>49</v>
      </c>
      <c r="B55" s="14" t="s">
        <v>53</v>
      </c>
      <c r="C55" s="14" t="s">
        <v>129</v>
      </c>
      <c r="D55" s="3">
        <v>1</v>
      </c>
      <c r="E55" s="9" t="str">
        <f t="shared" si="3"/>
        <v>CCDC</v>
      </c>
      <c r="F55" s="5">
        <v>2500000</v>
      </c>
      <c r="G55" s="6">
        <v>4</v>
      </c>
      <c r="H55" s="6">
        <v>3</v>
      </c>
      <c r="I55" s="7">
        <f t="shared" si="4"/>
        <v>0</v>
      </c>
      <c r="J55" s="8">
        <f t="shared" si="5"/>
        <v>0</v>
      </c>
    </row>
    <row r="56" spans="1:10">
      <c r="A56" s="3">
        <v>50</v>
      </c>
      <c r="B56" s="14" t="s">
        <v>53</v>
      </c>
      <c r="C56" s="14" t="s">
        <v>130</v>
      </c>
      <c r="D56" s="3">
        <v>1</v>
      </c>
      <c r="E56" s="9" t="str">
        <f t="shared" si="3"/>
        <v>CCDC</v>
      </c>
      <c r="F56" s="5">
        <v>2000000</v>
      </c>
      <c r="G56" s="6">
        <v>4</v>
      </c>
      <c r="H56" s="6">
        <v>3</v>
      </c>
      <c r="I56" s="7">
        <f t="shared" si="4"/>
        <v>0</v>
      </c>
      <c r="J56" s="8">
        <f t="shared" si="5"/>
        <v>0</v>
      </c>
    </row>
    <row r="57" spans="1:10">
      <c r="A57" s="3">
        <v>51</v>
      </c>
      <c r="B57" s="14" t="s">
        <v>53</v>
      </c>
      <c r="C57" s="14" t="s">
        <v>131</v>
      </c>
      <c r="D57" s="3">
        <v>1</v>
      </c>
      <c r="E57" s="9" t="str">
        <f t="shared" si="3"/>
        <v>CCDC</v>
      </c>
      <c r="F57" s="5">
        <v>2200000</v>
      </c>
      <c r="G57" s="6">
        <v>4</v>
      </c>
      <c r="H57" s="6">
        <v>3</v>
      </c>
      <c r="I57" s="7">
        <f t="shared" si="4"/>
        <v>0</v>
      </c>
      <c r="J57" s="8">
        <f t="shared" si="5"/>
        <v>0</v>
      </c>
    </row>
    <row r="58" spans="1:10">
      <c r="A58" s="3">
        <v>52</v>
      </c>
      <c r="B58" s="14" t="s">
        <v>54</v>
      </c>
      <c r="C58" s="14" t="s">
        <v>55</v>
      </c>
      <c r="D58" s="3">
        <v>1</v>
      </c>
      <c r="E58" s="9" t="str">
        <f t="shared" ref="E58:E89" si="6">IF(F58&gt;=30000000,"TSCĐ","CCDC")</f>
        <v>CCDC</v>
      </c>
      <c r="F58" s="5">
        <v>8000000</v>
      </c>
      <c r="G58" s="6">
        <v>4</v>
      </c>
      <c r="H58" s="6">
        <v>3</v>
      </c>
      <c r="I58" s="7">
        <f t="shared" ref="I58:I89" si="7">IF(H58&lt;=G58,0,(H58-G58)/H58)</f>
        <v>0</v>
      </c>
      <c r="J58" s="8">
        <f t="shared" ref="J58:J89" si="8">D58*F58*I58</f>
        <v>0</v>
      </c>
    </row>
    <row r="59" spans="1:10">
      <c r="A59" s="3">
        <v>53</v>
      </c>
      <c r="B59" s="14" t="s">
        <v>54</v>
      </c>
      <c r="C59" s="14" t="s">
        <v>56</v>
      </c>
      <c r="D59" s="3">
        <v>1</v>
      </c>
      <c r="E59" s="9" t="str">
        <f t="shared" si="6"/>
        <v>CCDC</v>
      </c>
      <c r="F59" s="5">
        <v>7000000</v>
      </c>
      <c r="G59" s="6">
        <v>4</v>
      </c>
      <c r="H59" s="6">
        <v>3</v>
      </c>
      <c r="I59" s="7">
        <f t="shared" si="7"/>
        <v>0</v>
      </c>
      <c r="J59" s="8">
        <f t="shared" si="8"/>
        <v>0</v>
      </c>
    </row>
    <row r="60" spans="1:10">
      <c r="A60" s="3">
        <v>54</v>
      </c>
      <c r="B60" s="14" t="s">
        <v>54</v>
      </c>
      <c r="C60" s="14" t="s">
        <v>57</v>
      </c>
      <c r="D60" s="3">
        <v>1</v>
      </c>
      <c r="E60" s="9" t="str">
        <f t="shared" si="6"/>
        <v>CCDC</v>
      </c>
      <c r="F60" s="5">
        <v>7000000</v>
      </c>
      <c r="G60" s="6">
        <v>4</v>
      </c>
      <c r="H60" s="6">
        <v>3</v>
      </c>
      <c r="I60" s="7">
        <f t="shared" si="7"/>
        <v>0</v>
      </c>
      <c r="J60" s="8">
        <f t="shared" si="8"/>
        <v>0</v>
      </c>
    </row>
    <row r="61" spans="1:10">
      <c r="A61" s="3">
        <v>55</v>
      </c>
      <c r="B61" s="14" t="s">
        <v>54</v>
      </c>
      <c r="C61" s="14" t="s">
        <v>58</v>
      </c>
      <c r="D61" s="3">
        <v>1</v>
      </c>
      <c r="E61" s="9" t="str">
        <f t="shared" si="6"/>
        <v>CCDC</v>
      </c>
      <c r="F61" s="5">
        <v>6500000</v>
      </c>
      <c r="G61" s="6">
        <v>4</v>
      </c>
      <c r="H61" s="6">
        <v>3</v>
      </c>
      <c r="I61" s="7">
        <f t="shared" si="7"/>
        <v>0</v>
      </c>
      <c r="J61" s="8">
        <f t="shared" si="8"/>
        <v>0</v>
      </c>
    </row>
    <row r="62" spans="1:10">
      <c r="A62" s="3">
        <v>56</v>
      </c>
      <c r="B62" s="14" t="s">
        <v>132</v>
      </c>
      <c r="C62" s="14" t="s">
        <v>133</v>
      </c>
      <c r="D62" s="3">
        <v>2</v>
      </c>
      <c r="E62" s="9" t="str">
        <f t="shared" si="6"/>
        <v>CCDC</v>
      </c>
      <c r="F62" s="5">
        <v>1000000</v>
      </c>
      <c r="G62" s="6">
        <v>4</v>
      </c>
      <c r="H62" s="6">
        <v>3</v>
      </c>
      <c r="I62" s="7">
        <f t="shared" si="7"/>
        <v>0</v>
      </c>
      <c r="J62" s="8">
        <f t="shared" si="8"/>
        <v>0</v>
      </c>
    </row>
    <row r="63" spans="1:10">
      <c r="A63" s="3">
        <v>57</v>
      </c>
      <c r="B63" s="14" t="s">
        <v>134</v>
      </c>
      <c r="C63" s="14"/>
      <c r="D63" s="3">
        <v>3</v>
      </c>
      <c r="E63" s="9" t="str">
        <f t="shared" si="6"/>
        <v>CCDC</v>
      </c>
      <c r="F63" s="5">
        <v>150000</v>
      </c>
      <c r="G63" s="6">
        <v>4</v>
      </c>
      <c r="H63" s="6">
        <v>3</v>
      </c>
      <c r="I63" s="7">
        <f t="shared" si="7"/>
        <v>0</v>
      </c>
      <c r="J63" s="8">
        <f t="shared" si="8"/>
        <v>0</v>
      </c>
    </row>
    <row r="64" spans="1:10">
      <c r="A64" s="3">
        <v>58</v>
      </c>
      <c r="B64" s="14" t="s">
        <v>59</v>
      </c>
      <c r="C64" s="14"/>
      <c r="D64" s="3">
        <v>2</v>
      </c>
      <c r="E64" s="9" t="str">
        <f t="shared" si="6"/>
        <v>CCDC</v>
      </c>
      <c r="F64" s="5">
        <v>150000</v>
      </c>
      <c r="G64" s="6">
        <v>4</v>
      </c>
      <c r="H64" s="6">
        <v>3</v>
      </c>
      <c r="I64" s="7">
        <f t="shared" si="7"/>
        <v>0</v>
      </c>
      <c r="J64" s="8">
        <f t="shared" si="8"/>
        <v>0</v>
      </c>
    </row>
    <row r="65" spans="1:10">
      <c r="A65" s="3">
        <v>59</v>
      </c>
      <c r="B65" s="14" t="s">
        <v>60</v>
      </c>
      <c r="C65" s="14"/>
      <c r="D65" s="3">
        <v>4</v>
      </c>
      <c r="E65" s="9" t="str">
        <f t="shared" si="6"/>
        <v>CCDC</v>
      </c>
      <c r="F65" s="5">
        <v>50000</v>
      </c>
      <c r="G65" s="6">
        <v>4</v>
      </c>
      <c r="H65" s="6">
        <v>3</v>
      </c>
      <c r="I65" s="7">
        <f t="shared" si="7"/>
        <v>0</v>
      </c>
      <c r="J65" s="8">
        <f t="shared" si="8"/>
        <v>0</v>
      </c>
    </row>
    <row r="66" spans="1:10">
      <c r="A66" s="3">
        <v>60</v>
      </c>
      <c r="B66" s="14" t="s">
        <v>61</v>
      </c>
      <c r="C66" s="14"/>
      <c r="D66" s="3">
        <v>4</v>
      </c>
      <c r="E66" s="9" t="str">
        <f t="shared" si="6"/>
        <v>CCDC</v>
      </c>
      <c r="F66" s="5">
        <v>30000</v>
      </c>
      <c r="G66" s="6">
        <v>4</v>
      </c>
      <c r="H66" s="6">
        <v>3</v>
      </c>
      <c r="I66" s="7">
        <f t="shared" si="7"/>
        <v>0</v>
      </c>
      <c r="J66" s="8">
        <f t="shared" si="8"/>
        <v>0</v>
      </c>
    </row>
    <row r="67" spans="1:10">
      <c r="A67" s="3">
        <v>61</v>
      </c>
      <c r="B67" s="14" t="s">
        <v>135</v>
      </c>
      <c r="C67" s="14" t="s">
        <v>62</v>
      </c>
      <c r="D67" s="3">
        <v>4</v>
      </c>
      <c r="E67" s="9" t="str">
        <f t="shared" si="6"/>
        <v>CCDC</v>
      </c>
      <c r="F67" s="5">
        <v>800000</v>
      </c>
      <c r="G67" s="6">
        <v>4</v>
      </c>
      <c r="H67" s="6">
        <v>3</v>
      </c>
      <c r="I67" s="7">
        <f t="shared" si="7"/>
        <v>0</v>
      </c>
      <c r="J67" s="8">
        <f t="shared" si="8"/>
        <v>0</v>
      </c>
    </row>
    <row r="68" spans="1:10">
      <c r="A68" s="3">
        <v>62</v>
      </c>
      <c r="B68" s="14" t="s">
        <v>63</v>
      </c>
      <c r="C68" s="14"/>
      <c r="D68" s="3">
        <v>1</v>
      </c>
      <c r="E68" s="9" t="str">
        <f t="shared" si="6"/>
        <v>CCDC</v>
      </c>
      <c r="F68" s="5">
        <v>5000000</v>
      </c>
      <c r="G68" s="6">
        <v>4</v>
      </c>
      <c r="H68" s="6">
        <v>3</v>
      </c>
      <c r="I68" s="7">
        <f t="shared" si="7"/>
        <v>0</v>
      </c>
      <c r="J68" s="8">
        <f t="shared" si="8"/>
        <v>0</v>
      </c>
    </row>
    <row r="69" spans="1:10">
      <c r="A69" s="3">
        <v>63</v>
      </c>
      <c r="B69" s="14" t="s">
        <v>64</v>
      </c>
      <c r="C69" s="14" t="s">
        <v>65</v>
      </c>
      <c r="D69" s="3">
        <v>4</v>
      </c>
      <c r="E69" s="9" t="str">
        <f t="shared" si="6"/>
        <v>CCDC</v>
      </c>
      <c r="F69" s="5">
        <v>300000</v>
      </c>
      <c r="G69" s="6">
        <v>4</v>
      </c>
      <c r="H69" s="6">
        <v>3</v>
      </c>
      <c r="I69" s="7">
        <f t="shared" si="7"/>
        <v>0</v>
      </c>
      <c r="J69" s="8">
        <f t="shared" si="8"/>
        <v>0</v>
      </c>
    </row>
    <row r="70" spans="1:10">
      <c r="A70" s="3">
        <v>64</v>
      </c>
      <c r="B70" s="14" t="s">
        <v>136</v>
      </c>
      <c r="C70" s="14" t="s">
        <v>66</v>
      </c>
      <c r="D70" s="3">
        <v>1</v>
      </c>
      <c r="E70" s="9" t="str">
        <f t="shared" si="6"/>
        <v>CCDC</v>
      </c>
      <c r="F70" s="5">
        <v>300000</v>
      </c>
      <c r="G70" s="6">
        <v>4</v>
      </c>
      <c r="H70" s="6">
        <v>3</v>
      </c>
      <c r="I70" s="7">
        <f t="shared" si="7"/>
        <v>0</v>
      </c>
      <c r="J70" s="8">
        <f t="shared" si="8"/>
        <v>0</v>
      </c>
    </row>
    <row r="71" spans="1:10">
      <c r="A71" s="3">
        <v>65</v>
      </c>
      <c r="B71" s="14" t="s">
        <v>67</v>
      </c>
      <c r="C71" s="14" t="s">
        <v>68</v>
      </c>
      <c r="D71" s="3">
        <v>3</v>
      </c>
      <c r="E71" s="9" t="str">
        <f t="shared" si="6"/>
        <v>CCDC</v>
      </c>
      <c r="F71" s="5">
        <v>800000</v>
      </c>
      <c r="G71" s="6">
        <v>4</v>
      </c>
      <c r="H71" s="6">
        <v>3</v>
      </c>
      <c r="I71" s="7">
        <f t="shared" si="7"/>
        <v>0</v>
      </c>
      <c r="J71" s="8">
        <f t="shared" si="8"/>
        <v>0</v>
      </c>
    </row>
    <row r="72" spans="1:10">
      <c r="A72" s="3">
        <v>66</v>
      </c>
      <c r="B72" s="14" t="s">
        <v>69</v>
      </c>
      <c r="C72" s="14"/>
      <c r="D72" s="3">
        <v>2</v>
      </c>
      <c r="E72" s="9" t="str">
        <f t="shared" si="6"/>
        <v>CCDC</v>
      </c>
      <c r="F72" s="5">
        <v>150000</v>
      </c>
      <c r="G72" s="6">
        <v>4</v>
      </c>
      <c r="H72" s="6">
        <v>3</v>
      </c>
      <c r="I72" s="7">
        <f t="shared" si="7"/>
        <v>0</v>
      </c>
      <c r="J72" s="8">
        <f t="shared" si="8"/>
        <v>0</v>
      </c>
    </row>
    <row r="73" spans="1:10">
      <c r="A73" s="3">
        <v>67</v>
      </c>
      <c r="B73" s="14" t="s">
        <v>70</v>
      </c>
      <c r="C73" s="14"/>
      <c r="D73" s="3">
        <v>5</v>
      </c>
      <c r="E73" s="9" t="str">
        <f t="shared" si="6"/>
        <v>CCDC</v>
      </c>
      <c r="F73" s="5">
        <v>80000</v>
      </c>
      <c r="G73" s="6">
        <v>4</v>
      </c>
      <c r="H73" s="6">
        <v>3</v>
      </c>
      <c r="I73" s="7">
        <f t="shared" si="7"/>
        <v>0</v>
      </c>
      <c r="J73" s="8">
        <f t="shared" si="8"/>
        <v>0</v>
      </c>
    </row>
    <row r="74" spans="1:10">
      <c r="A74" s="3">
        <v>68</v>
      </c>
      <c r="B74" s="14" t="s">
        <v>137</v>
      </c>
      <c r="C74" s="14" t="s">
        <v>71</v>
      </c>
      <c r="D74" s="3">
        <v>1</v>
      </c>
      <c r="E74" s="9" t="str">
        <f t="shared" si="6"/>
        <v>CCDC</v>
      </c>
      <c r="F74" s="5">
        <v>1500000</v>
      </c>
      <c r="G74" s="6">
        <v>4</v>
      </c>
      <c r="H74" s="6">
        <v>3</v>
      </c>
      <c r="I74" s="7">
        <f t="shared" si="7"/>
        <v>0</v>
      </c>
      <c r="J74" s="8">
        <f t="shared" si="8"/>
        <v>0</v>
      </c>
    </row>
    <row r="75" spans="1:10">
      <c r="A75" s="3">
        <v>69</v>
      </c>
      <c r="B75" s="14" t="s">
        <v>72</v>
      </c>
      <c r="C75" s="14"/>
      <c r="D75" s="3">
        <v>1</v>
      </c>
      <c r="E75" s="9" t="str">
        <f t="shared" si="6"/>
        <v>CCDC</v>
      </c>
      <c r="F75" s="5">
        <v>500000</v>
      </c>
      <c r="G75" s="6">
        <v>4</v>
      </c>
      <c r="H75" s="6">
        <v>3</v>
      </c>
      <c r="I75" s="7">
        <f t="shared" si="7"/>
        <v>0</v>
      </c>
      <c r="J75" s="8">
        <f t="shared" si="8"/>
        <v>0</v>
      </c>
    </row>
    <row r="76" spans="1:10">
      <c r="A76" s="3">
        <v>70</v>
      </c>
      <c r="B76" s="14" t="s">
        <v>73</v>
      </c>
      <c r="C76" s="14"/>
      <c r="D76" s="3">
        <v>1</v>
      </c>
      <c r="E76" s="9" t="str">
        <f t="shared" si="6"/>
        <v>CCDC</v>
      </c>
      <c r="F76" s="5">
        <v>100000</v>
      </c>
      <c r="G76" s="6">
        <v>4</v>
      </c>
      <c r="H76" s="6">
        <v>3</v>
      </c>
      <c r="I76" s="7">
        <f t="shared" si="7"/>
        <v>0</v>
      </c>
      <c r="J76" s="8">
        <f t="shared" si="8"/>
        <v>0</v>
      </c>
    </row>
    <row r="77" spans="1:10">
      <c r="A77" s="3">
        <v>71</v>
      </c>
      <c r="B77" s="14" t="s">
        <v>74</v>
      </c>
      <c r="C77" s="14"/>
      <c r="D77" s="3">
        <v>2</v>
      </c>
      <c r="E77" s="9" t="str">
        <f t="shared" si="6"/>
        <v>CCDC</v>
      </c>
      <c r="F77" s="5">
        <v>300000</v>
      </c>
      <c r="G77" s="6">
        <v>4</v>
      </c>
      <c r="H77" s="6">
        <v>3</v>
      </c>
      <c r="I77" s="7">
        <f t="shared" si="7"/>
        <v>0</v>
      </c>
      <c r="J77" s="8">
        <f t="shared" si="8"/>
        <v>0</v>
      </c>
    </row>
    <row r="78" spans="1:10">
      <c r="A78" s="3">
        <v>72</v>
      </c>
      <c r="B78" s="14" t="s">
        <v>75</v>
      </c>
      <c r="C78" s="14"/>
      <c r="D78" s="3">
        <v>9</v>
      </c>
      <c r="E78" s="9" t="str">
        <f t="shared" si="6"/>
        <v>CCDC</v>
      </c>
      <c r="F78" s="5">
        <v>80000</v>
      </c>
      <c r="G78" s="6">
        <v>4</v>
      </c>
      <c r="H78" s="6">
        <v>3</v>
      </c>
      <c r="I78" s="7">
        <f t="shared" si="7"/>
        <v>0</v>
      </c>
      <c r="J78" s="8">
        <f t="shared" si="8"/>
        <v>0</v>
      </c>
    </row>
    <row r="79" spans="1:10">
      <c r="A79" s="3">
        <v>73</v>
      </c>
      <c r="B79" s="14" t="s">
        <v>76</v>
      </c>
      <c r="C79" s="14"/>
      <c r="D79" s="3">
        <v>30</v>
      </c>
      <c r="E79" s="9" t="str">
        <f t="shared" si="6"/>
        <v>CCDC</v>
      </c>
      <c r="F79" s="5">
        <v>120000</v>
      </c>
      <c r="G79" s="6">
        <v>4</v>
      </c>
      <c r="H79" s="6">
        <v>3</v>
      </c>
      <c r="I79" s="7">
        <f t="shared" si="7"/>
        <v>0</v>
      </c>
      <c r="J79" s="8">
        <f t="shared" si="8"/>
        <v>0</v>
      </c>
    </row>
    <row r="80" spans="1:10">
      <c r="A80" s="3">
        <v>74</v>
      </c>
      <c r="B80" s="14" t="s">
        <v>77</v>
      </c>
      <c r="C80" s="14"/>
      <c r="D80" s="3">
        <v>1</v>
      </c>
      <c r="E80" s="9" t="str">
        <f t="shared" si="6"/>
        <v>CCDC</v>
      </c>
      <c r="F80" s="5">
        <v>3500000</v>
      </c>
      <c r="G80" s="6">
        <v>4</v>
      </c>
      <c r="H80" s="6">
        <v>3</v>
      </c>
      <c r="I80" s="7">
        <f t="shared" si="7"/>
        <v>0</v>
      </c>
      <c r="J80" s="8">
        <f t="shared" si="8"/>
        <v>0</v>
      </c>
    </row>
    <row r="81" spans="1:10">
      <c r="A81" s="3">
        <v>75</v>
      </c>
      <c r="B81" s="14" t="s">
        <v>138</v>
      </c>
      <c r="C81" s="14"/>
      <c r="D81" s="3">
        <v>5</v>
      </c>
      <c r="E81" s="9" t="str">
        <f t="shared" si="6"/>
        <v>CCDC</v>
      </c>
      <c r="F81" s="5">
        <v>60000</v>
      </c>
      <c r="G81" s="6">
        <v>4</v>
      </c>
      <c r="H81" s="6">
        <v>3</v>
      </c>
      <c r="I81" s="7">
        <f t="shared" si="7"/>
        <v>0</v>
      </c>
      <c r="J81" s="8">
        <f t="shared" si="8"/>
        <v>0</v>
      </c>
    </row>
    <row r="82" spans="1:10">
      <c r="A82" s="3">
        <v>76</v>
      </c>
      <c r="B82" s="14" t="s">
        <v>139</v>
      </c>
      <c r="C82" s="14"/>
      <c r="D82" s="3">
        <v>1</v>
      </c>
      <c r="E82" s="9" t="str">
        <f t="shared" si="6"/>
        <v>CCDC</v>
      </c>
      <c r="F82" s="5">
        <v>100000</v>
      </c>
      <c r="G82" s="6">
        <v>4</v>
      </c>
      <c r="H82" s="6">
        <v>3</v>
      </c>
      <c r="I82" s="7">
        <f t="shared" si="7"/>
        <v>0</v>
      </c>
      <c r="J82" s="8">
        <f t="shared" si="8"/>
        <v>0</v>
      </c>
    </row>
    <row r="83" spans="1:10">
      <c r="A83" s="3">
        <v>77</v>
      </c>
      <c r="B83" s="14" t="s">
        <v>78</v>
      </c>
      <c r="C83" s="14"/>
      <c r="D83" s="3">
        <v>5</v>
      </c>
      <c r="E83" s="9" t="str">
        <f t="shared" si="6"/>
        <v>CCDC</v>
      </c>
      <c r="F83" s="5">
        <v>80000</v>
      </c>
      <c r="G83" s="6">
        <v>4</v>
      </c>
      <c r="H83" s="6">
        <v>3</v>
      </c>
      <c r="I83" s="7">
        <f t="shared" si="7"/>
        <v>0</v>
      </c>
      <c r="J83" s="8">
        <f t="shared" si="8"/>
        <v>0</v>
      </c>
    </row>
    <row r="84" spans="1:10">
      <c r="A84" s="3">
        <v>78</v>
      </c>
      <c r="B84" s="14" t="s">
        <v>79</v>
      </c>
      <c r="C84" s="14"/>
      <c r="D84" s="3">
        <v>2</v>
      </c>
      <c r="E84" s="9" t="str">
        <f t="shared" si="6"/>
        <v>CCDC</v>
      </c>
      <c r="F84" s="5">
        <v>60000</v>
      </c>
      <c r="G84" s="6">
        <v>4</v>
      </c>
      <c r="H84" s="6">
        <v>3</v>
      </c>
      <c r="I84" s="7">
        <f t="shared" si="7"/>
        <v>0</v>
      </c>
      <c r="J84" s="8">
        <f t="shared" si="8"/>
        <v>0</v>
      </c>
    </row>
    <row r="85" spans="1:10">
      <c r="A85" s="3">
        <v>79</v>
      </c>
      <c r="B85" s="14" t="s">
        <v>140</v>
      </c>
      <c r="C85" s="14"/>
      <c r="D85" s="3">
        <v>33</v>
      </c>
      <c r="E85" s="9" t="str">
        <f t="shared" si="6"/>
        <v>CCDC</v>
      </c>
      <c r="F85" s="5">
        <v>40000</v>
      </c>
      <c r="G85" s="6">
        <v>4</v>
      </c>
      <c r="H85" s="6">
        <v>3</v>
      </c>
      <c r="I85" s="7">
        <f t="shared" si="7"/>
        <v>0</v>
      </c>
      <c r="J85" s="8">
        <f t="shared" si="8"/>
        <v>0</v>
      </c>
    </row>
    <row r="86" spans="1:10">
      <c r="A86" s="3">
        <v>80</v>
      </c>
      <c r="B86" s="14" t="s">
        <v>80</v>
      </c>
      <c r="C86" s="14"/>
      <c r="D86" s="3">
        <v>3</v>
      </c>
      <c r="E86" s="9" t="str">
        <f t="shared" si="6"/>
        <v>CCDC</v>
      </c>
      <c r="F86" s="5">
        <v>1200000</v>
      </c>
      <c r="G86" s="6">
        <v>4</v>
      </c>
      <c r="H86" s="6">
        <v>3</v>
      </c>
      <c r="I86" s="7">
        <f t="shared" si="7"/>
        <v>0</v>
      </c>
      <c r="J86" s="8">
        <f t="shared" si="8"/>
        <v>0</v>
      </c>
    </row>
    <row r="87" spans="1:10">
      <c r="A87" s="3">
        <v>81</v>
      </c>
      <c r="B87" s="14" t="s">
        <v>73</v>
      </c>
      <c r="C87" s="14"/>
      <c r="D87" s="3">
        <v>1</v>
      </c>
      <c r="E87" s="9" t="str">
        <f t="shared" si="6"/>
        <v>CCDC</v>
      </c>
      <c r="F87" s="5">
        <v>100000</v>
      </c>
      <c r="G87" s="6">
        <v>4</v>
      </c>
      <c r="H87" s="6">
        <v>3</v>
      </c>
      <c r="I87" s="7">
        <f t="shared" si="7"/>
        <v>0</v>
      </c>
      <c r="J87" s="8">
        <f t="shared" si="8"/>
        <v>0</v>
      </c>
    </row>
    <row r="88" spans="1:10">
      <c r="A88" s="3">
        <v>82</v>
      </c>
      <c r="B88" s="14" t="s">
        <v>74</v>
      </c>
      <c r="C88" s="14"/>
      <c r="D88" s="3">
        <v>2</v>
      </c>
      <c r="E88" s="9" t="str">
        <f t="shared" si="6"/>
        <v>CCDC</v>
      </c>
      <c r="F88" s="5">
        <v>300000</v>
      </c>
      <c r="G88" s="6">
        <v>4</v>
      </c>
      <c r="H88" s="6">
        <v>3</v>
      </c>
      <c r="I88" s="7">
        <f t="shared" si="7"/>
        <v>0</v>
      </c>
      <c r="J88" s="8">
        <f t="shared" si="8"/>
        <v>0</v>
      </c>
    </row>
    <row r="89" spans="1:10">
      <c r="A89" s="3">
        <v>83</v>
      </c>
      <c r="B89" s="14" t="s">
        <v>141</v>
      </c>
      <c r="C89" s="14"/>
      <c r="D89" s="3">
        <v>18</v>
      </c>
      <c r="E89" s="9" t="str">
        <f t="shared" si="6"/>
        <v>CCDC</v>
      </c>
      <c r="F89" s="5">
        <v>350000</v>
      </c>
      <c r="G89" s="6">
        <v>4</v>
      </c>
      <c r="H89" s="6">
        <v>3</v>
      </c>
      <c r="I89" s="7">
        <f t="shared" si="7"/>
        <v>0</v>
      </c>
      <c r="J89" s="8">
        <f t="shared" si="8"/>
        <v>0</v>
      </c>
    </row>
    <row r="90" spans="1:10">
      <c r="A90" s="3">
        <v>84</v>
      </c>
      <c r="B90" s="14" t="s">
        <v>81</v>
      </c>
      <c r="C90" s="14"/>
      <c r="D90" s="3">
        <v>1</v>
      </c>
      <c r="E90" s="9" t="str">
        <f t="shared" ref="E90:E105" si="9">IF(F90&gt;=30000000,"TSCĐ","CCDC")</f>
        <v>CCDC</v>
      </c>
      <c r="F90" s="5">
        <v>200000</v>
      </c>
      <c r="G90" s="6">
        <v>4</v>
      </c>
      <c r="H90" s="6">
        <v>3</v>
      </c>
      <c r="I90" s="7">
        <f t="shared" ref="I90:I105" si="10">IF(H90&lt;=G90,0,(H90-G90)/H90)</f>
        <v>0</v>
      </c>
      <c r="J90" s="8">
        <f t="shared" ref="J90:J105" si="11">D90*F90*I90</f>
        <v>0</v>
      </c>
    </row>
    <row r="91" spans="1:10">
      <c r="A91" s="3">
        <v>85</v>
      </c>
      <c r="B91" s="14" t="s">
        <v>82</v>
      </c>
      <c r="C91" s="14"/>
      <c r="D91" s="3">
        <v>2</v>
      </c>
      <c r="E91" s="9" t="str">
        <f t="shared" si="9"/>
        <v>CCDC</v>
      </c>
      <c r="F91" s="5">
        <v>400000</v>
      </c>
      <c r="G91" s="6">
        <v>4</v>
      </c>
      <c r="H91" s="6">
        <v>3</v>
      </c>
      <c r="I91" s="7">
        <f t="shared" si="10"/>
        <v>0</v>
      </c>
      <c r="J91" s="8">
        <f t="shared" si="11"/>
        <v>0</v>
      </c>
    </row>
    <row r="92" spans="1:10">
      <c r="A92" s="3">
        <v>86</v>
      </c>
      <c r="B92" s="14" t="s">
        <v>83</v>
      </c>
      <c r="C92" s="14"/>
      <c r="D92" s="3">
        <v>8</v>
      </c>
      <c r="E92" s="9" t="str">
        <f t="shared" si="9"/>
        <v>CCDC</v>
      </c>
      <c r="F92" s="5">
        <v>150000</v>
      </c>
      <c r="G92" s="6">
        <v>4</v>
      </c>
      <c r="H92" s="6">
        <v>3</v>
      </c>
      <c r="I92" s="7">
        <f t="shared" si="10"/>
        <v>0</v>
      </c>
      <c r="J92" s="8">
        <f t="shared" si="11"/>
        <v>0</v>
      </c>
    </row>
    <row r="93" spans="1:10">
      <c r="A93" s="3">
        <v>87</v>
      </c>
      <c r="B93" s="14" t="s">
        <v>84</v>
      </c>
      <c r="C93" s="14"/>
      <c r="D93" s="3">
        <v>4</v>
      </c>
      <c r="E93" s="9" t="str">
        <f t="shared" si="9"/>
        <v>CCDC</v>
      </c>
      <c r="F93" s="5">
        <v>30000</v>
      </c>
      <c r="G93" s="6">
        <v>4</v>
      </c>
      <c r="H93" s="6">
        <v>3</v>
      </c>
      <c r="I93" s="7">
        <f t="shared" si="10"/>
        <v>0</v>
      </c>
      <c r="J93" s="8">
        <f t="shared" si="11"/>
        <v>0</v>
      </c>
    </row>
    <row r="94" spans="1:10">
      <c r="A94" s="3">
        <v>88</v>
      </c>
      <c r="B94" s="14" t="s">
        <v>85</v>
      </c>
      <c r="C94" s="14"/>
      <c r="D94" s="3">
        <v>5</v>
      </c>
      <c r="E94" s="9" t="str">
        <f t="shared" si="9"/>
        <v>CCDC</v>
      </c>
      <c r="F94" s="5">
        <v>25000</v>
      </c>
      <c r="G94" s="6">
        <v>4</v>
      </c>
      <c r="H94" s="6">
        <v>3</v>
      </c>
      <c r="I94" s="7">
        <f t="shared" si="10"/>
        <v>0</v>
      </c>
      <c r="J94" s="8">
        <f t="shared" si="11"/>
        <v>0</v>
      </c>
    </row>
    <row r="95" spans="1:10">
      <c r="A95" s="3">
        <v>89</v>
      </c>
      <c r="B95" s="14" t="s">
        <v>86</v>
      </c>
      <c r="C95" s="14"/>
      <c r="D95" s="3">
        <v>1</v>
      </c>
      <c r="E95" s="9" t="str">
        <f t="shared" si="9"/>
        <v>CCDC</v>
      </c>
      <c r="F95" s="5">
        <v>150000</v>
      </c>
      <c r="G95" s="6">
        <v>4</v>
      </c>
      <c r="H95" s="6">
        <v>3</v>
      </c>
      <c r="I95" s="7">
        <f t="shared" si="10"/>
        <v>0</v>
      </c>
      <c r="J95" s="8">
        <f t="shared" si="11"/>
        <v>0</v>
      </c>
    </row>
    <row r="96" spans="1:10">
      <c r="A96" s="3">
        <v>90</v>
      </c>
      <c r="B96" s="14" t="s">
        <v>87</v>
      </c>
      <c r="C96" s="14"/>
      <c r="D96" s="3">
        <v>1</v>
      </c>
      <c r="E96" s="9" t="str">
        <f t="shared" si="9"/>
        <v>CCDC</v>
      </c>
      <c r="F96" s="5">
        <v>80000</v>
      </c>
      <c r="G96" s="6">
        <v>4</v>
      </c>
      <c r="H96" s="6">
        <v>3</v>
      </c>
      <c r="I96" s="7">
        <f t="shared" si="10"/>
        <v>0</v>
      </c>
      <c r="J96" s="8">
        <f t="shared" si="11"/>
        <v>0</v>
      </c>
    </row>
    <row r="97" spans="1:10">
      <c r="A97" s="3">
        <v>91</v>
      </c>
      <c r="B97" s="14" t="s">
        <v>88</v>
      </c>
      <c r="C97" s="14"/>
      <c r="D97" s="3">
        <v>1</v>
      </c>
      <c r="E97" s="9" t="str">
        <f t="shared" si="9"/>
        <v>CCDC</v>
      </c>
      <c r="F97" s="5">
        <v>60000</v>
      </c>
      <c r="G97" s="6">
        <v>4</v>
      </c>
      <c r="H97" s="6">
        <v>3</v>
      </c>
      <c r="I97" s="7">
        <f t="shared" si="10"/>
        <v>0</v>
      </c>
      <c r="J97" s="8">
        <f t="shared" si="11"/>
        <v>0</v>
      </c>
    </row>
    <row r="98" spans="1:10">
      <c r="A98" s="3">
        <v>92</v>
      </c>
      <c r="B98" s="14" t="s">
        <v>89</v>
      </c>
      <c r="C98" s="14"/>
      <c r="D98" s="3">
        <v>1</v>
      </c>
      <c r="E98" s="9" t="str">
        <f t="shared" si="9"/>
        <v>CCDC</v>
      </c>
      <c r="F98" s="5">
        <v>100000</v>
      </c>
      <c r="G98" s="6">
        <v>4</v>
      </c>
      <c r="H98" s="6">
        <v>3</v>
      </c>
      <c r="I98" s="7">
        <f t="shared" si="10"/>
        <v>0</v>
      </c>
      <c r="J98" s="8">
        <f t="shared" si="11"/>
        <v>0</v>
      </c>
    </row>
    <row r="99" spans="1:10">
      <c r="A99" s="3">
        <v>93</v>
      </c>
      <c r="B99" s="14" t="s">
        <v>90</v>
      </c>
      <c r="C99" s="14"/>
      <c r="D99" s="3">
        <v>1</v>
      </c>
      <c r="E99" s="9" t="str">
        <f t="shared" si="9"/>
        <v>CCDC</v>
      </c>
      <c r="F99" s="5">
        <v>50000</v>
      </c>
      <c r="G99" s="6">
        <v>4</v>
      </c>
      <c r="H99" s="6">
        <v>3</v>
      </c>
      <c r="I99" s="7">
        <f t="shared" si="10"/>
        <v>0</v>
      </c>
      <c r="J99" s="8">
        <f t="shared" si="11"/>
        <v>0</v>
      </c>
    </row>
    <row r="100" spans="1:10">
      <c r="A100" s="3">
        <v>94</v>
      </c>
      <c r="B100" s="14" t="s">
        <v>142</v>
      </c>
      <c r="C100" s="14"/>
      <c r="D100" s="3">
        <v>10</v>
      </c>
      <c r="E100" s="9" t="str">
        <f t="shared" si="9"/>
        <v>CCDC</v>
      </c>
      <c r="F100" s="5">
        <v>50000</v>
      </c>
      <c r="G100" s="6">
        <v>4</v>
      </c>
      <c r="H100" s="6">
        <v>3</v>
      </c>
      <c r="I100" s="7">
        <f t="shared" si="10"/>
        <v>0</v>
      </c>
      <c r="J100" s="8">
        <f t="shared" si="11"/>
        <v>0</v>
      </c>
    </row>
    <row r="101" spans="1:10">
      <c r="A101" s="3">
        <v>95</v>
      </c>
      <c r="B101" s="14" t="s">
        <v>91</v>
      </c>
      <c r="C101" s="14"/>
      <c r="D101" s="3">
        <v>10</v>
      </c>
      <c r="E101" s="9" t="str">
        <f t="shared" si="9"/>
        <v>CCDC</v>
      </c>
      <c r="F101" s="5">
        <v>30000</v>
      </c>
      <c r="G101" s="6">
        <v>4</v>
      </c>
      <c r="H101" s="6">
        <v>3</v>
      </c>
      <c r="I101" s="7">
        <f t="shared" si="10"/>
        <v>0</v>
      </c>
      <c r="J101" s="8">
        <f t="shared" si="11"/>
        <v>0</v>
      </c>
    </row>
    <row r="102" spans="1:10">
      <c r="A102" s="3">
        <v>96</v>
      </c>
      <c r="B102" s="14" t="s">
        <v>92</v>
      </c>
      <c r="C102" s="14"/>
      <c r="D102" s="3">
        <v>1</v>
      </c>
      <c r="E102" s="9" t="str">
        <f t="shared" si="9"/>
        <v>CCDC</v>
      </c>
      <c r="F102" s="5">
        <v>100000</v>
      </c>
      <c r="G102" s="6">
        <v>4</v>
      </c>
      <c r="H102" s="6">
        <v>3</v>
      </c>
      <c r="I102" s="7">
        <f t="shared" si="10"/>
        <v>0</v>
      </c>
      <c r="J102" s="8">
        <f t="shared" si="11"/>
        <v>0</v>
      </c>
    </row>
    <row r="103" spans="1:10">
      <c r="A103" s="3">
        <v>97</v>
      </c>
      <c r="B103" s="14" t="s">
        <v>93</v>
      </c>
      <c r="C103" s="14"/>
      <c r="D103" s="3">
        <v>1</v>
      </c>
      <c r="E103" s="9" t="str">
        <f t="shared" si="9"/>
        <v>CCDC</v>
      </c>
      <c r="F103" s="5">
        <v>60000</v>
      </c>
      <c r="G103" s="6">
        <v>4</v>
      </c>
      <c r="H103" s="6">
        <v>3</v>
      </c>
      <c r="I103" s="7">
        <f t="shared" si="10"/>
        <v>0</v>
      </c>
      <c r="J103" s="8">
        <f t="shared" si="11"/>
        <v>0</v>
      </c>
    </row>
    <row r="104" spans="1:10">
      <c r="A104" s="3">
        <v>98</v>
      </c>
      <c r="B104" s="14" t="s">
        <v>94</v>
      </c>
      <c r="C104" s="14"/>
      <c r="D104" s="3">
        <v>1</v>
      </c>
      <c r="E104" s="9" t="str">
        <f t="shared" si="9"/>
        <v>CCDC</v>
      </c>
      <c r="F104" s="5">
        <v>5000000</v>
      </c>
      <c r="G104" s="6">
        <v>4</v>
      </c>
      <c r="H104" s="6">
        <v>3</v>
      </c>
      <c r="I104" s="7">
        <f t="shared" si="10"/>
        <v>0</v>
      </c>
      <c r="J104" s="8">
        <f t="shared" si="11"/>
        <v>0</v>
      </c>
    </row>
    <row r="105" spans="1:10">
      <c r="A105" s="3">
        <v>99</v>
      </c>
      <c r="B105" s="14" t="s">
        <v>143</v>
      </c>
      <c r="C105" s="14" t="s">
        <v>95</v>
      </c>
      <c r="D105" s="3">
        <v>2</v>
      </c>
      <c r="E105" s="9" t="str">
        <f t="shared" si="9"/>
        <v>CCDC</v>
      </c>
      <c r="F105" s="5">
        <v>2500000</v>
      </c>
      <c r="G105" s="6">
        <v>4</v>
      </c>
      <c r="H105" s="6">
        <v>3</v>
      </c>
      <c r="I105" s="7">
        <f t="shared" si="10"/>
        <v>0</v>
      </c>
      <c r="J105" s="8">
        <f t="shared" si="11"/>
        <v>0</v>
      </c>
    </row>
    <row r="106" spans="1:10">
      <c r="A106" s="31" t="s">
        <v>144</v>
      </c>
      <c r="B106" s="31"/>
      <c r="C106" s="31"/>
      <c r="D106" s="31"/>
      <c r="E106" s="31"/>
      <c r="F106" s="31"/>
      <c r="G106" s="31"/>
      <c r="H106" s="31"/>
      <c r="I106" s="31"/>
      <c r="J106" s="10">
        <f>SUM(J3:J105)</f>
        <v>181333333.33333331</v>
      </c>
    </row>
    <row r="107" spans="1:10">
      <c r="A107" s="32" t="s">
        <v>96</v>
      </c>
      <c r="B107" s="32"/>
      <c r="C107" s="32"/>
      <c r="D107" s="32"/>
      <c r="E107" s="32"/>
      <c r="F107" s="32"/>
      <c r="G107" s="32"/>
      <c r="H107" s="32"/>
      <c r="I107" s="32"/>
      <c r="J107" s="1">
        <f>SUMIFS(J3:J105,E3:E105,"TSCĐ")</f>
        <v>181333333.33333331</v>
      </c>
    </row>
    <row r="108" spans="1:10">
      <c r="A108" s="32" t="s">
        <v>97</v>
      </c>
      <c r="B108" s="32"/>
      <c r="C108" s="32"/>
      <c r="D108" s="32"/>
      <c r="E108" s="32"/>
      <c r="F108" s="32"/>
      <c r="G108" s="32"/>
      <c r="H108" s="32"/>
      <c r="I108" s="32"/>
      <c r="J108" s="1">
        <f>SUMIFS(J3:J105,E3:E105,"CCDC")</f>
        <v>0</v>
      </c>
    </row>
  </sheetData>
  <autoFilter ref="A2:J108" xr:uid="{00000000-0001-0000-0000-000000000000}"/>
  <mergeCells count="8">
    <mergeCell ref="A25:J25"/>
    <mergeCell ref="A106:I106"/>
    <mergeCell ref="A107:I107"/>
    <mergeCell ref="A108:I108"/>
    <mergeCell ref="A1:J1"/>
    <mergeCell ref="A3:J3"/>
    <mergeCell ref="A5:J5"/>
    <mergeCell ref="A7:J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3CB8-254D-4647-AA16-382C9BEDAAF0}">
  <dimension ref="A1:J33"/>
  <sheetViews>
    <sheetView workbookViewId="0">
      <selection activeCell="O34" sqref="O34"/>
    </sheetView>
  </sheetViews>
  <sheetFormatPr defaultColWidth="8.7109375" defaultRowHeight="15"/>
  <cols>
    <col min="1" max="1" width="8.140625" customWidth="1"/>
    <col min="2" max="2" width="35.140625" style="15" customWidth="1"/>
    <col min="3" max="3" width="33.28515625" style="15" bestFit="1" customWidth="1"/>
    <col min="4" max="4" width="6" customWidth="1"/>
    <col min="5" max="5" width="14.42578125" customWidth="1"/>
    <col min="6" max="6" width="16" customWidth="1"/>
    <col min="7" max="7" width="11.85546875" customWidth="1"/>
    <col min="8" max="8" width="13.140625" customWidth="1"/>
    <col min="9" max="9" width="12" customWidth="1"/>
    <col min="10" max="10" width="18.5703125" customWidth="1"/>
  </cols>
  <sheetData>
    <row r="1" spans="1:10" ht="16.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38.25">
      <c r="A2" s="2" t="s">
        <v>1</v>
      </c>
      <c r="B2" s="11" t="s">
        <v>2</v>
      </c>
      <c r="C2" s="1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0" t="s">
        <v>15</v>
      </c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">
        <v>1</v>
      </c>
      <c r="B4" s="16" t="s">
        <v>145</v>
      </c>
      <c r="C4" s="17"/>
      <c r="D4" s="17">
        <v>2</v>
      </c>
      <c r="E4" s="9" t="str">
        <f t="shared" ref="E4:E30" si="0">IF(F4&gt;=30000000,"TSCĐ","CCDC")</f>
        <v>CCDC</v>
      </c>
      <c r="F4" s="5">
        <v>2000000</v>
      </c>
      <c r="G4" s="6">
        <v>4</v>
      </c>
      <c r="H4" s="6">
        <v>3</v>
      </c>
      <c r="I4" s="7">
        <f>IF(H4&lt;=G4,0,(H4-G4)/H4)</f>
        <v>0</v>
      </c>
      <c r="J4" s="8">
        <f t="shared" ref="J4:J26" si="1">D4*F4*I4</f>
        <v>0</v>
      </c>
    </row>
    <row r="5" spans="1:10">
      <c r="A5" s="3">
        <v>2</v>
      </c>
      <c r="B5" s="16" t="s">
        <v>146</v>
      </c>
      <c r="C5" s="17"/>
      <c r="D5" s="17">
        <v>1</v>
      </c>
      <c r="E5" s="9" t="str">
        <f t="shared" si="0"/>
        <v>CCDC</v>
      </c>
      <c r="F5" s="5">
        <v>5000000</v>
      </c>
      <c r="G5" s="6">
        <v>4</v>
      </c>
      <c r="H5" s="6">
        <v>6</v>
      </c>
      <c r="I5" s="7">
        <v>0.8</v>
      </c>
      <c r="J5" s="8">
        <f t="shared" si="1"/>
        <v>4000000</v>
      </c>
    </row>
    <row r="6" spans="1:10">
      <c r="A6" s="3">
        <v>3</v>
      </c>
      <c r="B6" s="16" t="s">
        <v>147</v>
      </c>
      <c r="C6" s="17"/>
      <c r="D6" s="17">
        <v>1</v>
      </c>
      <c r="E6" s="9" t="str">
        <f t="shared" si="0"/>
        <v>CCDC</v>
      </c>
      <c r="F6" s="5">
        <v>2500000</v>
      </c>
      <c r="G6" s="6">
        <v>4</v>
      </c>
      <c r="H6" s="6">
        <v>3</v>
      </c>
      <c r="I6" s="7">
        <v>0.8</v>
      </c>
      <c r="J6" s="8">
        <f t="shared" si="1"/>
        <v>2000000</v>
      </c>
    </row>
    <row r="7" spans="1:10">
      <c r="A7" s="3">
        <v>4</v>
      </c>
      <c r="B7" s="16" t="s">
        <v>148</v>
      </c>
      <c r="C7" s="17" t="s">
        <v>149</v>
      </c>
      <c r="D7" s="17">
        <v>2</v>
      </c>
      <c r="E7" s="9" t="str">
        <f t="shared" si="0"/>
        <v>CCDC</v>
      </c>
      <c r="F7" s="5">
        <v>20000000</v>
      </c>
      <c r="G7" s="6">
        <v>4</v>
      </c>
      <c r="H7" s="6">
        <v>5</v>
      </c>
      <c r="I7" s="7">
        <f t="shared" ref="I7:I26" si="2">IF(H7&lt;=G7,0,(H7-G7)/H7)</f>
        <v>0.2</v>
      </c>
      <c r="J7" s="8">
        <f t="shared" si="1"/>
        <v>8000000</v>
      </c>
    </row>
    <row r="8" spans="1:10">
      <c r="A8" s="3">
        <v>5</v>
      </c>
      <c r="B8" s="16" t="s">
        <v>150</v>
      </c>
      <c r="C8" s="17"/>
      <c r="D8" s="17">
        <v>3</v>
      </c>
      <c r="E8" s="9" t="str">
        <f t="shared" si="0"/>
        <v>CCDC</v>
      </c>
      <c r="F8" s="5">
        <v>100000</v>
      </c>
      <c r="G8" s="6">
        <v>4</v>
      </c>
      <c r="H8" s="6">
        <v>3</v>
      </c>
      <c r="I8" s="7">
        <f>IF(H8&lt;=G8,0,(H8-G8)/H8)</f>
        <v>0</v>
      </c>
      <c r="J8" s="8">
        <f t="shared" si="1"/>
        <v>0</v>
      </c>
    </row>
    <row r="9" spans="1:10">
      <c r="A9" s="3">
        <v>6</v>
      </c>
      <c r="B9" s="16" t="s">
        <v>151</v>
      </c>
      <c r="C9" s="17"/>
      <c r="D9" s="17">
        <v>3</v>
      </c>
      <c r="E9" s="9" t="str">
        <f t="shared" si="0"/>
        <v>CCDC</v>
      </c>
      <c r="F9" s="5">
        <v>3000000</v>
      </c>
      <c r="G9" s="6">
        <v>4</v>
      </c>
      <c r="H9" s="6">
        <v>3</v>
      </c>
      <c r="I9" s="7">
        <v>0.95</v>
      </c>
      <c r="J9" s="8">
        <f t="shared" si="1"/>
        <v>8550000</v>
      </c>
    </row>
    <row r="10" spans="1:10">
      <c r="A10" s="3">
        <v>7</v>
      </c>
      <c r="B10" s="16" t="s">
        <v>152</v>
      </c>
      <c r="C10" s="17"/>
      <c r="D10" s="17">
        <v>3</v>
      </c>
      <c r="E10" s="9" t="str">
        <f t="shared" si="0"/>
        <v>CCDC</v>
      </c>
      <c r="F10" s="5">
        <v>1500000</v>
      </c>
      <c r="G10" s="6">
        <v>4</v>
      </c>
      <c r="H10" s="6">
        <v>3</v>
      </c>
      <c r="I10" s="7">
        <f t="shared" si="2"/>
        <v>0</v>
      </c>
      <c r="J10" s="8">
        <f t="shared" si="1"/>
        <v>0</v>
      </c>
    </row>
    <row r="11" spans="1:10">
      <c r="A11" s="3">
        <v>8</v>
      </c>
      <c r="B11" s="16" t="s">
        <v>153</v>
      </c>
      <c r="C11" s="17" t="s">
        <v>154</v>
      </c>
      <c r="D11" s="17">
        <v>1</v>
      </c>
      <c r="E11" s="9" t="str">
        <f t="shared" si="0"/>
        <v>CCDC</v>
      </c>
      <c r="F11" s="5">
        <v>1800000</v>
      </c>
      <c r="G11" s="6">
        <v>4</v>
      </c>
      <c r="H11" s="6"/>
      <c r="I11" s="7"/>
      <c r="J11" s="8"/>
    </row>
    <row r="12" spans="1:10">
      <c r="A12" s="3">
        <v>9</v>
      </c>
      <c r="B12" s="16" t="s">
        <v>153</v>
      </c>
      <c r="C12" s="17" t="s">
        <v>155</v>
      </c>
      <c r="D12" s="17">
        <v>1</v>
      </c>
      <c r="E12" s="9" t="str">
        <f t="shared" si="0"/>
        <v>CCDC</v>
      </c>
      <c r="F12" s="5">
        <v>3000000</v>
      </c>
      <c r="G12" s="6">
        <v>4</v>
      </c>
      <c r="H12" s="6"/>
      <c r="I12" s="7"/>
      <c r="J12" s="8"/>
    </row>
    <row r="13" spans="1:10">
      <c r="A13" s="3">
        <v>10</v>
      </c>
      <c r="B13" s="16" t="s">
        <v>153</v>
      </c>
      <c r="C13" s="17" t="s">
        <v>157</v>
      </c>
      <c r="D13" s="17">
        <v>1</v>
      </c>
      <c r="E13" s="9" t="str">
        <f t="shared" si="0"/>
        <v>CCDC</v>
      </c>
      <c r="F13" s="5">
        <v>2000000</v>
      </c>
      <c r="G13" s="6">
        <v>4</v>
      </c>
      <c r="H13" s="6"/>
      <c r="I13" s="7"/>
      <c r="J13" s="8"/>
    </row>
    <row r="14" spans="1:10">
      <c r="A14" s="3">
        <v>11</v>
      </c>
      <c r="B14" s="16" t="s">
        <v>153</v>
      </c>
      <c r="C14" s="17" t="s">
        <v>158</v>
      </c>
      <c r="D14" s="17">
        <v>2</v>
      </c>
      <c r="E14" s="9" t="str">
        <f t="shared" si="0"/>
        <v>CCDC</v>
      </c>
      <c r="F14" s="5">
        <v>10000000</v>
      </c>
      <c r="G14" s="6">
        <v>4</v>
      </c>
      <c r="H14" s="6"/>
      <c r="I14" s="7"/>
      <c r="J14" s="8"/>
    </row>
    <row r="15" spans="1:10">
      <c r="A15" s="3">
        <v>12</v>
      </c>
      <c r="B15" s="16" t="s">
        <v>153</v>
      </c>
      <c r="C15" s="17" t="s">
        <v>159</v>
      </c>
      <c r="D15" s="17">
        <v>2</v>
      </c>
      <c r="E15" s="9" t="str">
        <f t="shared" si="0"/>
        <v>CCDC</v>
      </c>
      <c r="F15" s="5">
        <v>2000000</v>
      </c>
      <c r="G15" s="6">
        <v>4</v>
      </c>
      <c r="H15" s="6"/>
      <c r="I15" s="7"/>
      <c r="J15" s="8"/>
    </row>
    <row r="16" spans="1:10">
      <c r="A16" s="3">
        <v>13</v>
      </c>
      <c r="B16" s="16" t="s">
        <v>153</v>
      </c>
      <c r="C16" s="17" t="s">
        <v>209</v>
      </c>
      <c r="D16" s="17">
        <v>1</v>
      </c>
      <c r="E16" s="9" t="str">
        <f t="shared" si="0"/>
        <v>CCDC</v>
      </c>
      <c r="F16" s="5">
        <v>2000000</v>
      </c>
      <c r="G16" s="6">
        <v>4</v>
      </c>
      <c r="H16" s="6"/>
      <c r="I16" s="7"/>
      <c r="J16" s="8"/>
    </row>
    <row r="17" spans="1:10">
      <c r="A17" s="3">
        <v>14</v>
      </c>
      <c r="B17" s="16" t="s">
        <v>153</v>
      </c>
      <c r="C17" s="17" t="s">
        <v>156</v>
      </c>
      <c r="D17" s="17">
        <v>1</v>
      </c>
      <c r="E17" s="9" t="str">
        <f t="shared" si="0"/>
        <v>CCDC</v>
      </c>
      <c r="F17" s="5">
        <v>3000000</v>
      </c>
      <c r="G17" s="6">
        <v>4</v>
      </c>
      <c r="H17" s="6"/>
      <c r="I17" s="7"/>
      <c r="J17" s="8"/>
    </row>
    <row r="18" spans="1:10">
      <c r="A18" s="3">
        <v>15</v>
      </c>
      <c r="B18" s="16" t="s">
        <v>160</v>
      </c>
      <c r="C18" s="17" t="s">
        <v>157</v>
      </c>
      <c r="D18" s="17">
        <v>1</v>
      </c>
      <c r="E18" s="9" t="str">
        <f t="shared" si="0"/>
        <v>CCDC</v>
      </c>
      <c r="F18" s="5">
        <v>2000000</v>
      </c>
      <c r="G18" s="6">
        <v>4</v>
      </c>
      <c r="H18" s="6"/>
      <c r="I18" s="7"/>
      <c r="J18" s="8"/>
    </row>
    <row r="19" spans="1:10">
      <c r="A19" s="3">
        <v>16</v>
      </c>
      <c r="B19" s="16" t="s">
        <v>160</v>
      </c>
      <c r="C19" s="17" t="s">
        <v>161</v>
      </c>
      <c r="D19" s="17">
        <v>2</v>
      </c>
      <c r="E19" s="9" t="str">
        <f t="shared" si="0"/>
        <v>CCDC</v>
      </c>
      <c r="F19" s="5">
        <v>3000000</v>
      </c>
      <c r="G19" s="6">
        <v>4</v>
      </c>
      <c r="H19" s="6"/>
      <c r="I19" s="7"/>
      <c r="J19" s="8"/>
    </row>
    <row r="20" spans="1:10">
      <c r="A20" s="3">
        <v>17</v>
      </c>
      <c r="B20" s="16" t="s">
        <v>160</v>
      </c>
      <c r="C20" s="17" t="s">
        <v>56</v>
      </c>
      <c r="D20" s="17">
        <v>2</v>
      </c>
      <c r="E20" s="9" t="str">
        <f t="shared" si="0"/>
        <v>CCDC</v>
      </c>
      <c r="F20" s="5">
        <v>5000000</v>
      </c>
      <c r="G20" s="6">
        <v>4</v>
      </c>
      <c r="H20" s="6"/>
      <c r="I20" s="7"/>
      <c r="J20" s="8"/>
    </row>
    <row r="21" spans="1:10">
      <c r="A21" s="3">
        <v>18</v>
      </c>
      <c r="B21" s="16" t="s">
        <v>160</v>
      </c>
      <c r="C21" s="17" t="s">
        <v>161</v>
      </c>
      <c r="D21" s="17">
        <v>1</v>
      </c>
      <c r="E21" s="9" t="str">
        <f t="shared" si="0"/>
        <v>CCDC</v>
      </c>
      <c r="F21" s="5">
        <v>3000000</v>
      </c>
      <c r="G21" s="6">
        <v>4</v>
      </c>
      <c r="H21" s="6"/>
      <c r="I21" s="7"/>
      <c r="J21" s="8"/>
    </row>
    <row r="22" spans="1:10">
      <c r="A22" s="3">
        <v>19</v>
      </c>
      <c r="B22" s="16" t="s">
        <v>160</v>
      </c>
      <c r="C22" s="17" t="s">
        <v>209</v>
      </c>
      <c r="D22" s="17">
        <v>1</v>
      </c>
      <c r="E22" s="9" t="str">
        <f t="shared" si="0"/>
        <v>CCDC</v>
      </c>
      <c r="F22" s="5">
        <v>2000000</v>
      </c>
      <c r="G22" s="6">
        <v>4</v>
      </c>
      <c r="H22" s="6"/>
      <c r="I22" s="7"/>
      <c r="J22" s="8"/>
    </row>
    <row r="23" spans="1:10">
      <c r="A23" s="3">
        <v>20</v>
      </c>
      <c r="B23" s="16" t="s">
        <v>160</v>
      </c>
      <c r="C23" s="17" t="s">
        <v>210</v>
      </c>
      <c r="D23" s="17">
        <v>1</v>
      </c>
      <c r="E23" s="9" t="str">
        <f t="shared" si="0"/>
        <v>CCDC</v>
      </c>
      <c r="F23" s="5">
        <v>3000000</v>
      </c>
      <c r="G23" s="6">
        <v>4</v>
      </c>
      <c r="H23" s="6"/>
      <c r="I23" s="7"/>
      <c r="J23" s="8"/>
    </row>
    <row r="24" spans="1:10">
      <c r="A24" s="3">
        <v>21</v>
      </c>
      <c r="B24" s="16" t="s">
        <v>160</v>
      </c>
      <c r="C24" s="17" t="s">
        <v>211</v>
      </c>
      <c r="D24" s="17">
        <v>1</v>
      </c>
      <c r="E24" s="9" t="str">
        <f t="shared" si="0"/>
        <v>CCDC</v>
      </c>
      <c r="F24" s="5">
        <v>2000000</v>
      </c>
      <c r="G24" s="6">
        <v>4</v>
      </c>
      <c r="H24" s="6"/>
      <c r="I24" s="7"/>
      <c r="J24" s="8"/>
    </row>
    <row r="25" spans="1:10">
      <c r="A25" s="3">
        <v>22</v>
      </c>
      <c r="B25" s="16" t="s">
        <v>162</v>
      </c>
      <c r="C25" s="17"/>
      <c r="D25" s="17">
        <v>1</v>
      </c>
      <c r="E25" s="9" t="str">
        <f t="shared" si="0"/>
        <v>CCDC</v>
      </c>
      <c r="F25" s="5">
        <v>2460000</v>
      </c>
      <c r="G25" s="6">
        <v>4</v>
      </c>
      <c r="H25" s="6"/>
      <c r="I25" s="7">
        <f t="shared" si="2"/>
        <v>0</v>
      </c>
      <c r="J25" s="8">
        <f t="shared" si="1"/>
        <v>0</v>
      </c>
    </row>
    <row r="26" spans="1:10">
      <c r="A26" s="3">
        <v>23</v>
      </c>
      <c r="B26" s="16" t="s">
        <v>163</v>
      </c>
      <c r="C26" s="17"/>
      <c r="D26" s="17">
        <v>1</v>
      </c>
      <c r="E26" s="9" t="str">
        <f t="shared" si="0"/>
        <v>CCDC</v>
      </c>
      <c r="F26" s="5">
        <v>2000000</v>
      </c>
      <c r="G26" s="6">
        <v>4</v>
      </c>
      <c r="H26" s="6"/>
      <c r="I26" s="7">
        <f t="shared" si="2"/>
        <v>0</v>
      </c>
      <c r="J26" s="8">
        <f t="shared" si="1"/>
        <v>0</v>
      </c>
    </row>
    <row r="27" spans="1:10">
      <c r="A27" s="3">
        <v>24</v>
      </c>
      <c r="B27" s="16" t="s">
        <v>164</v>
      </c>
      <c r="C27" s="17"/>
      <c r="D27" s="17">
        <v>7</v>
      </c>
      <c r="E27" s="9" t="str">
        <f t="shared" si="0"/>
        <v>CCDC</v>
      </c>
      <c r="F27" s="5">
        <v>850000</v>
      </c>
      <c r="G27" s="6">
        <v>4</v>
      </c>
      <c r="H27" s="6"/>
      <c r="I27" s="7"/>
      <c r="J27" s="8"/>
    </row>
    <row r="28" spans="1:10">
      <c r="A28" s="3">
        <v>25</v>
      </c>
      <c r="B28" s="16" t="s">
        <v>165</v>
      </c>
      <c r="C28" s="17"/>
      <c r="D28" s="17">
        <v>1</v>
      </c>
      <c r="E28" s="9" t="str">
        <f t="shared" si="0"/>
        <v>CCDC</v>
      </c>
      <c r="F28" s="5">
        <v>250000</v>
      </c>
      <c r="G28" s="6">
        <v>4</v>
      </c>
      <c r="H28" s="6"/>
      <c r="I28" s="7"/>
      <c r="J28" s="8"/>
    </row>
    <row r="29" spans="1:10">
      <c r="A29" s="3">
        <v>26</v>
      </c>
      <c r="B29" s="16" t="s">
        <v>166</v>
      </c>
      <c r="C29" s="17"/>
      <c r="D29" s="17">
        <v>1</v>
      </c>
      <c r="E29" s="9" t="str">
        <f t="shared" si="0"/>
        <v>CCDC</v>
      </c>
      <c r="F29" s="5">
        <v>1500000</v>
      </c>
      <c r="G29" s="6">
        <v>4</v>
      </c>
      <c r="H29" s="6"/>
      <c r="I29" s="7"/>
      <c r="J29" s="8"/>
    </row>
    <row r="30" spans="1:10">
      <c r="A30" s="3">
        <v>27</v>
      </c>
      <c r="B30" s="18" t="s">
        <v>167</v>
      </c>
      <c r="C30" s="17"/>
      <c r="D30" s="17">
        <v>1</v>
      </c>
      <c r="E30" s="9" t="str">
        <f t="shared" si="0"/>
        <v>CCDC</v>
      </c>
      <c r="F30" s="5">
        <v>1500000</v>
      </c>
      <c r="G30" s="6">
        <v>4</v>
      </c>
      <c r="H30" s="6"/>
      <c r="I30" s="7"/>
      <c r="J30" s="8"/>
    </row>
    <row r="31" spans="1:10">
      <c r="A31" s="31" t="s">
        <v>144</v>
      </c>
      <c r="B31" s="31"/>
      <c r="C31" s="31"/>
      <c r="D31" s="31"/>
      <c r="E31" s="31"/>
      <c r="F31" s="31"/>
      <c r="G31" s="31"/>
      <c r="H31" s="31"/>
      <c r="I31" s="31"/>
      <c r="J31" s="10">
        <f>SUM(J3:J30)</f>
        <v>22550000</v>
      </c>
    </row>
    <row r="32" spans="1:10">
      <c r="A32" s="32" t="s">
        <v>96</v>
      </c>
      <c r="B32" s="32"/>
      <c r="C32" s="32"/>
      <c r="D32" s="32"/>
      <c r="E32" s="32"/>
      <c r="F32" s="32"/>
      <c r="G32" s="32"/>
      <c r="H32" s="32"/>
      <c r="I32" s="32"/>
      <c r="J32" s="1">
        <f>SUMIFS(J3:J30,E3:E30,"TSCĐ")</f>
        <v>0</v>
      </c>
    </row>
    <row r="33" spans="1:10">
      <c r="A33" s="32" t="s">
        <v>97</v>
      </c>
      <c r="B33" s="32"/>
      <c r="C33" s="32"/>
      <c r="D33" s="32"/>
      <c r="E33" s="32"/>
      <c r="F33" s="32"/>
      <c r="G33" s="32"/>
      <c r="H33" s="32"/>
      <c r="I33" s="32"/>
      <c r="J33" s="1">
        <f>SUMIFS(J3:J30,E3:E30,"CCDC")</f>
        <v>22550000</v>
      </c>
    </row>
  </sheetData>
  <mergeCells count="5">
    <mergeCell ref="A1:J1"/>
    <mergeCell ref="A3:J3"/>
    <mergeCell ref="A31:I31"/>
    <mergeCell ref="A32:I32"/>
    <mergeCell ref="A33:I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337D-684C-4B19-A4C6-E5B9A0BAA801}">
  <dimension ref="A1:J27"/>
  <sheetViews>
    <sheetView workbookViewId="0">
      <selection activeCell="R27" sqref="R27"/>
    </sheetView>
  </sheetViews>
  <sheetFormatPr defaultColWidth="8.7109375" defaultRowHeight="15"/>
  <cols>
    <col min="1" max="1" width="8.140625" customWidth="1"/>
    <col min="2" max="2" width="35.140625" style="15" customWidth="1"/>
    <col min="3" max="3" width="33.28515625" style="15" bestFit="1" customWidth="1"/>
    <col min="4" max="4" width="6" customWidth="1"/>
    <col min="5" max="5" width="14.42578125" customWidth="1"/>
    <col min="6" max="6" width="16" customWidth="1"/>
    <col min="7" max="7" width="11.85546875" customWidth="1"/>
    <col min="8" max="8" width="13.140625" customWidth="1"/>
    <col min="9" max="9" width="12" customWidth="1"/>
    <col min="10" max="10" width="18.5703125" customWidth="1"/>
  </cols>
  <sheetData>
    <row r="1" spans="1:10" ht="16.5">
      <c r="A1" s="33" t="s">
        <v>168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38.25">
      <c r="A2" s="2" t="s">
        <v>1</v>
      </c>
      <c r="B2" s="11" t="s">
        <v>2</v>
      </c>
      <c r="C2" s="1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15.75">
      <c r="A3" s="3">
        <v>1</v>
      </c>
      <c r="B3" s="19" t="s">
        <v>169</v>
      </c>
      <c r="C3" s="14"/>
      <c r="D3" s="3">
        <v>1</v>
      </c>
      <c r="E3" s="20"/>
      <c r="F3" s="21" t="s">
        <v>170</v>
      </c>
      <c r="G3" s="22">
        <v>2</v>
      </c>
      <c r="H3" s="6"/>
      <c r="I3" s="7"/>
      <c r="J3" s="8"/>
    </row>
    <row r="4" spans="1:10" ht="15.75">
      <c r="A4" s="3">
        <v>2</v>
      </c>
      <c r="B4" s="19" t="s">
        <v>171</v>
      </c>
      <c r="C4" s="14"/>
      <c r="D4" s="3">
        <v>1</v>
      </c>
      <c r="E4" s="23"/>
      <c r="F4" s="21" t="s">
        <v>172</v>
      </c>
      <c r="G4" s="22">
        <v>4</v>
      </c>
      <c r="H4" s="6"/>
      <c r="I4" s="7"/>
      <c r="J4" s="8"/>
    </row>
    <row r="5" spans="1:10" ht="15.75">
      <c r="A5" s="3">
        <v>3</v>
      </c>
      <c r="B5" s="19" t="s">
        <v>173</v>
      </c>
      <c r="C5" s="14"/>
      <c r="D5" s="3">
        <v>1</v>
      </c>
      <c r="E5" s="20"/>
      <c r="F5" s="21" t="s">
        <v>174</v>
      </c>
      <c r="G5" s="22">
        <v>4</v>
      </c>
      <c r="H5" s="6"/>
      <c r="I5" s="7"/>
      <c r="J5" s="8"/>
    </row>
    <row r="6" spans="1:10" ht="15.75">
      <c r="A6" s="3">
        <v>4</v>
      </c>
      <c r="B6" s="19" t="s">
        <v>175</v>
      </c>
      <c r="C6" s="14"/>
      <c r="D6" s="3">
        <v>1</v>
      </c>
      <c r="E6" s="23"/>
      <c r="F6" s="21" t="s">
        <v>176</v>
      </c>
      <c r="G6" s="22">
        <v>2</v>
      </c>
      <c r="H6" s="6"/>
      <c r="I6" s="7"/>
      <c r="J6" s="8"/>
    </row>
    <row r="7" spans="1:10" ht="15.75">
      <c r="A7" s="3">
        <v>5</v>
      </c>
      <c r="B7" s="19" t="s">
        <v>177</v>
      </c>
      <c r="C7" s="14"/>
      <c r="D7" s="3">
        <v>1</v>
      </c>
      <c r="E7" s="23"/>
      <c r="F7" s="21" t="s">
        <v>178</v>
      </c>
      <c r="G7" s="22">
        <v>4</v>
      </c>
      <c r="H7" s="6"/>
      <c r="I7" s="7"/>
      <c r="J7" s="8"/>
    </row>
    <row r="8" spans="1:10" ht="15.75">
      <c r="A8" s="3">
        <v>6</v>
      </c>
      <c r="B8" s="19" t="s">
        <v>179</v>
      </c>
      <c r="C8" s="14"/>
      <c r="D8" s="3">
        <v>1</v>
      </c>
      <c r="E8" s="23"/>
      <c r="F8" s="21" t="s">
        <v>180</v>
      </c>
      <c r="G8" s="22">
        <v>4</v>
      </c>
      <c r="H8" s="6"/>
      <c r="I8" s="7"/>
      <c r="J8" s="8"/>
    </row>
    <row r="9" spans="1:10" ht="15.75">
      <c r="A9" s="3">
        <v>7</v>
      </c>
      <c r="B9" s="19" t="s">
        <v>181</v>
      </c>
      <c r="C9" s="14"/>
      <c r="D9" s="3">
        <v>1</v>
      </c>
      <c r="E9" s="20"/>
      <c r="F9" s="21" t="s">
        <v>182</v>
      </c>
      <c r="G9" s="22">
        <v>2</v>
      </c>
      <c r="H9" s="6"/>
      <c r="I9" s="7"/>
      <c r="J9" s="8"/>
    </row>
    <row r="10" spans="1:10" ht="15.75">
      <c r="A10" s="3">
        <v>8</v>
      </c>
      <c r="B10" s="19" t="s">
        <v>183</v>
      </c>
      <c r="C10" s="14"/>
      <c r="D10" s="3">
        <v>1</v>
      </c>
      <c r="E10" s="20"/>
      <c r="F10" s="21" t="s">
        <v>184</v>
      </c>
      <c r="G10" s="22">
        <v>4</v>
      </c>
      <c r="H10" s="6"/>
      <c r="I10" s="7"/>
      <c r="J10" s="8"/>
    </row>
    <row r="11" spans="1:10" ht="15.75">
      <c r="A11" s="3">
        <v>9</v>
      </c>
      <c r="B11" s="19" t="s">
        <v>185</v>
      </c>
      <c r="C11" s="14"/>
      <c r="D11" s="3">
        <v>1</v>
      </c>
      <c r="E11" s="20"/>
      <c r="F11" s="21" t="s">
        <v>186</v>
      </c>
      <c r="G11" s="22">
        <v>2</v>
      </c>
      <c r="H11" s="6"/>
      <c r="I11" s="7"/>
      <c r="J11" s="8"/>
    </row>
    <row r="12" spans="1:10" ht="15.75">
      <c r="A12" s="3">
        <v>10</v>
      </c>
      <c r="B12" s="19" t="s">
        <v>187</v>
      </c>
      <c r="C12" s="14"/>
      <c r="D12" s="3">
        <v>1</v>
      </c>
      <c r="E12" s="20"/>
      <c r="F12" s="21" t="s">
        <v>188</v>
      </c>
      <c r="G12" s="22">
        <v>3</v>
      </c>
      <c r="H12" s="6"/>
      <c r="I12" s="7"/>
      <c r="J12" s="8"/>
    </row>
    <row r="13" spans="1:10" ht="15.75">
      <c r="A13" s="3">
        <v>11</v>
      </c>
      <c r="B13" s="19" t="s">
        <v>187</v>
      </c>
      <c r="C13" s="14"/>
      <c r="D13" s="3">
        <v>1</v>
      </c>
      <c r="E13" s="20"/>
      <c r="F13" s="21" t="s">
        <v>188</v>
      </c>
      <c r="G13" s="22">
        <v>3</v>
      </c>
      <c r="H13" s="6"/>
      <c r="I13" s="7"/>
      <c r="J13" s="8"/>
    </row>
    <row r="14" spans="1:10" ht="15.75">
      <c r="A14" s="3">
        <v>12</v>
      </c>
      <c r="B14" s="19" t="s">
        <v>189</v>
      </c>
      <c r="C14" s="14"/>
      <c r="D14" s="3">
        <v>1</v>
      </c>
      <c r="E14" s="20"/>
      <c r="F14" s="21" t="s">
        <v>190</v>
      </c>
      <c r="G14" s="22">
        <v>2</v>
      </c>
      <c r="H14" s="6"/>
      <c r="I14" s="7"/>
      <c r="J14" s="8"/>
    </row>
    <row r="15" spans="1:10" ht="15.75">
      <c r="A15" s="3">
        <v>13</v>
      </c>
      <c r="B15" s="19" t="s">
        <v>191</v>
      </c>
      <c r="C15" s="14"/>
      <c r="D15" s="3">
        <v>1</v>
      </c>
      <c r="E15" s="20"/>
      <c r="F15" s="21" t="s">
        <v>192</v>
      </c>
      <c r="G15" s="22">
        <v>2</v>
      </c>
      <c r="H15" s="6"/>
      <c r="I15" s="7"/>
      <c r="J15" s="8"/>
    </row>
    <row r="16" spans="1:10" ht="15.75">
      <c r="A16" s="3">
        <v>14</v>
      </c>
      <c r="B16" s="19" t="s">
        <v>193</v>
      </c>
      <c r="C16" s="14"/>
      <c r="D16" s="3">
        <v>1</v>
      </c>
      <c r="E16" s="20"/>
      <c r="F16" s="21" t="s">
        <v>194</v>
      </c>
      <c r="G16" s="22">
        <v>2</v>
      </c>
      <c r="H16" s="6"/>
      <c r="I16" s="7"/>
      <c r="J16" s="8"/>
    </row>
    <row r="17" spans="1:10" ht="15.75">
      <c r="A17" s="3">
        <v>15</v>
      </c>
      <c r="B17" s="19" t="s">
        <v>195</v>
      </c>
      <c r="C17" s="14"/>
      <c r="D17" s="3">
        <v>1</v>
      </c>
      <c r="E17" s="20"/>
      <c r="F17" s="21" t="s">
        <v>196</v>
      </c>
      <c r="G17" s="22">
        <v>2</v>
      </c>
      <c r="H17" s="6"/>
      <c r="I17" s="7"/>
      <c r="J17" s="8"/>
    </row>
    <row r="18" spans="1:10" ht="15.75">
      <c r="A18" s="3">
        <v>16</v>
      </c>
      <c r="B18" s="19" t="s">
        <v>197</v>
      </c>
      <c r="C18" s="14"/>
      <c r="D18" s="3">
        <v>1</v>
      </c>
      <c r="E18" s="20"/>
      <c r="F18" s="21" t="s">
        <v>198</v>
      </c>
      <c r="G18" s="22">
        <v>1</v>
      </c>
      <c r="H18" s="6"/>
      <c r="I18" s="7"/>
      <c r="J18" s="8"/>
    </row>
    <row r="19" spans="1:10" ht="15.75">
      <c r="A19" s="3">
        <v>17</v>
      </c>
      <c r="B19" s="19" t="s">
        <v>199</v>
      </c>
      <c r="C19" s="14"/>
      <c r="D19" s="3">
        <v>1</v>
      </c>
      <c r="E19" s="20"/>
      <c r="F19" s="21" t="s">
        <v>200</v>
      </c>
      <c r="G19" s="22">
        <v>2</v>
      </c>
      <c r="H19" s="6"/>
      <c r="I19" s="7"/>
      <c r="J19" s="8"/>
    </row>
    <row r="20" spans="1:10" ht="15.75">
      <c r="A20" s="3">
        <v>18</v>
      </c>
      <c r="B20" s="24" t="s">
        <v>201</v>
      </c>
      <c r="C20" s="14"/>
      <c r="D20" s="3">
        <v>1</v>
      </c>
      <c r="E20" s="20"/>
      <c r="F20" s="25" t="s">
        <v>202</v>
      </c>
      <c r="G20" s="22">
        <v>3</v>
      </c>
      <c r="H20" s="6"/>
      <c r="I20" s="7"/>
      <c r="J20" s="8"/>
    </row>
    <row r="21" spans="1:10" ht="15.75">
      <c r="A21" s="3">
        <v>19</v>
      </c>
      <c r="B21" s="24" t="s">
        <v>203</v>
      </c>
      <c r="C21" s="14"/>
      <c r="D21" s="3">
        <v>1</v>
      </c>
      <c r="E21" s="20"/>
      <c r="F21" s="25" t="s">
        <v>204</v>
      </c>
      <c r="G21" s="22">
        <v>3</v>
      </c>
      <c r="H21" s="6"/>
      <c r="I21" s="7"/>
      <c r="J21" s="8"/>
    </row>
    <row r="22" spans="1:10" ht="15.75">
      <c r="A22" s="3">
        <v>20</v>
      </c>
      <c r="B22" s="24" t="s">
        <v>205</v>
      </c>
      <c r="C22" s="14"/>
      <c r="D22" s="3">
        <v>1</v>
      </c>
      <c r="E22" s="20"/>
      <c r="F22" s="25" t="s">
        <v>204</v>
      </c>
      <c r="G22" s="22">
        <v>3</v>
      </c>
      <c r="H22" s="6"/>
      <c r="I22" s="7"/>
      <c r="J22" s="8"/>
    </row>
    <row r="23" spans="1:10">
      <c r="A23" s="3">
        <v>21</v>
      </c>
      <c r="B23" s="18" t="s">
        <v>206</v>
      </c>
      <c r="C23" s="14"/>
      <c r="D23" s="3">
        <v>1</v>
      </c>
      <c r="E23" s="20"/>
      <c r="F23" s="25" t="s">
        <v>207</v>
      </c>
      <c r="G23" s="22">
        <v>1</v>
      </c>
      <c r="H23" s="6"/>
      <c r="I23" s="7"/>
      <c r="J23" s="8"/>
    </row>
    <row r="24" spans="1:10">
      <c r="A24" s="3">
        <v>22</v>
      </c>
      <c r="B24" s="18" t="s">
        <v>208</v>
      </c>
      <c r="C24" s="14"/>
      <c r="D24" s="3">
        <v>1</v>
      </c>
      <c r="E24" s="20"/>
      <c r="F24" s="25" t="s">
        <v>204</v>
      </c>
      <c r="G24" s="22">
        <v>3</v>
      </c>
      <c r="H24" s="22"/>
      <c r="I24" s="7"/>
      <c r="J24" s="8"/>
    </row>
    <row r="25" spans="1:10">
      <c r="A25" s="31" t="s">
        <v>144</v>
      </c>
      <c r="B25" s="31"/>
      <c r="C25" s="31"/>
      <c r="D25" s="31"/>
      <c r="E25" s="31"/>
      <c r="F25" s="31"/>
      <c r="G25" s="31"/>
      <c r="H25" s="31"/>
      <c r="I25" s="31"/>
      <c r="J25" s="10">
        <f>SUM(J3:J24)</f>
        <v>0</v>
      </c>
    </row>
    <row r="26" spans="1:10">
      <c r="A26" s="32" t="s">
        <v>96</v>
      </c>
      <c r="B26" s="32"/>
      <c r="C26" s="32"/>
      <c r="D26" s="32"/>
      <c r="E26" s="32"/>
      <c r="F26" s="32"/>
      <c r="G26" s="32"/>
      <c r="H26" s="32"/>
      <c r="I26" s="32"/>
      <c r="J26" s="1">
        <f>SUMIFS(J3:J24,E3:E24,"TSCĐ")</f>
        <v>0</v>
      </c>
    </row>
    <row r="27" spans="1:10">
      <c r="A27" s="32" t="s">
        <v>97</v>
      </c>
      <c r="B27" s="32"/>
      <c r="C27" s="32"/>
      <c r="D27" s="32"/>
      <c r="E27" s="32"/>
      <c r="F27" s="32"/>
      <c r="G27" s="32"/>
      <c r="H27" s="32"/>
      <c r="I27" s="32"/>
      <c r="J27" s="1">
        <f>SUMIFS(J3:J24,E3:E24,"CCDC")</f>
        <v>0</v>
      </c>
    </row>
  </sheetData>
  <mergeCells count="4">
    <mergeCell ref="A1:J1"/>
    <mergeCell ref="A25:I25"/>
    <mergeCell ref="A26:I26"/>
    <mergeCell ref="A27:I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EB42-807A-47F5-B0C0-80128F248873}">
  <dimension ref="A1:J111"/>
  <sheetViews>
    <sheetView topLeftCell="C1" workbookViewId="0">
      <selection activeCell="G14" sqref="G14"/>
    </sheetView>
  </sheetViews>
  <sheetFormatPr defaultColWidth="8.7109375" defaultRowHeight="15"/>
  <cols>
    <col min="1" max="1" width="8.140625" customWidth="1"/>
    <col min="2" max="2" width="35.140625" style="15" customWidth="1"/>
    <col min="3" max="3" width="33.28515625" style="15" bestFit="1" customWidth="1"/>
    <col min="4" max="4" width="6" customWidth="1"/>
    <col min="5" max="5" width="14.42578125" customWidth="1"/>
    <col min="6" max="6" width="16" customWidth="1"/>
    <col min="7" max="7" width="11.85546875" customWidth="1"/>
    <col min="8" max="8" width="13.140625" customWidth="1"/>
    <col min="9" max="9" width="12" customWidth="1"/>
    <col min="10" max="10" width="18.5703125" customWidth="1"/>
  </cols>
  <sheetData>
    <row r="1" spans="1:10" ht="16.5">
      <c r="A1" s="33" t="s">
        <v>212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38.25">
      <c r="A2" s="2" t="s">
        <v>1</v>
      </c>
      <c r="B2" s="11" t="s">
        <v>2</v>
      </c>
      <c r="C2" s="1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0" t="s">
        <v>213</v>
      </c>
      <c r="B3" s="30"/>
      <c r="C3" s="30"/>
      <c r="D3" s="30"/>
      <c r="E3" s="30"/>
      <c r="F3" s="30"/>
      <c r="G3" s="30"/>
      <c r="H3" s="30"/>
      <c r="I3" s="30"/>
      <c r="J3" s="30"/>
    </row>
    <row r="4" spans="1:10">
      <c r="A4" s="3">
        <v>1</v>
      </c>
      <c r="B4" s="12" t="s">
        <v>98</v>
      </c>
      <c r="C4" s="13"/>
      <c r="D4" s="3">
        <v>1</v>
      </c>
      <c r="E4" s="4" t="str">
        <f>IF(F4&gt;=30000000,"TSCĐ","CCDC")</f>
        <v>CCDC</v>
      </c>
      <c r="F4" s="5"/>
      <c r="G4" s="6"/>
      <c r="H4" s="6"/>
      <c r="I4" s="7">
        <f>IF(H4&lt;=G4,0,(H4-G4)/H4)</f>
        <v>0</v>
      </c>
      <c r="J4" s="8">
        <f>D4*F4*I4</f>
        <v>0</v>
      </c>
    </row>
    <row r="5" spans="1:10">
      <c r="A5" s="30" t="s">
        <v>12</v>
      </c>
      <c r="B5" s="30"/>
      <c r="C5" s="30"/>
      <c r="D5" s="30"/>
      <c r="E5" s="30"/>
      <c r="F5" s="30"/>
      <c r="G5" s="30"/>
      <c r="H5" s="30"/>
      <c r="I5" s="30"/>
      <c r="J5" s="30"/>
    </row>
    <row r="6" spans="1:10">
      <c r="A6" s="3">
        <v>2</v>
      </c>
      <c r="B6" s="14" t="s">
        <v>214</v>
      </c>
      <c r="C6" s="14" t="s">
        <v>298</v>
      </c>
      <c r="D6" s="3">
        <v>1</v>
      </c>
      <c r="E6" s="4" t="str">
        <f t="shared" ref="E6:E8" si="0">IF(F6&gt;=30000000,"TSCĐ","CCDC")</f>
        <v>TSCĐ</v>
      </c>
      <c r="F6" s="5">
        <v>490000000</v>
      </c>
      <c r="G6" s="6">
        <v>10</v>
      </c>
      <c r="H6" s="6">
        <v>25</v>
      </c>
      <c r="I6" s="7">
        <f t="shared" ref="I6:I8" si="1">IF(H6&lt;=G6,0,(H6-G6)/H6)</f>
        <v>0.6</v>
      </c>
      <c r="J6" s="8">
        <f t="shared" ref="J6:J8" si="2">D6*F6*I6</f>
        <v>294000000</v>
      </c>
    </row>
    <row r="7" spans="1:10">
      <c r="A7" s="3">
        <v>3</v>
      </c>
      <c r="B7" s="14" t="s">
        <v>295</v>
      </c>
      <c r="C7" s="14" t="s">
        <v>299</v>
      </c>
      <c r="D7" s="3">
        <v>1</v>
      </c>
      <c r="E7" s="4" t="str">
        <f t="shared" si="0"/>
        <v>TSCĐ</v>
      </c>
      <c r="F7" s="5">
        <v>430000000</v>
      </c>
      <c r="G7" s="6">
        <v>4</v>
      </c>
      <c r="H7" s="6">
        <v>25</v>
      </c>
      <c r="I7" s="7">
        <f t="shared" si="1"/>
        <v>0.84</v>
      </c>
      <c r="J7" s="8">
        <f t="shared" si="2"/>
        <v>361200000</v>
      </c>
    </row>
    <row r="8" spans="1:10">
      <c r="A8" s="3">
        <v>4</v>
      </c>
      <c r="B8" s="14" t="s">
        <v>215</v>
      </c>
      <c r="C8" s="14" t="s">
        <v>296</v>
      </c>
      <c r="D8" s="3">
        <v>1</v>
      </c>
      <c r="E8" s="4" t="str">
        <f t="shared" si="0"/>
        <v>TSCĐ</v>
      </c>
      <c r="F8" s="5">
        <v>400000000</v>
      </c>
      <c r="G8" s="6">
        <v>5</v>
      </c>
      <c r="H8" s="6">
        <v>25</v>
      </c>
      <c r="I8" s="7">
        <f t="shared" si="1"/>
        <v>0.8</v>
      </c>
      <c r="J8" s="8">
        <f t="shared" si="2"/>
        <v>320000000</v>
      </c>
    </row>
    <row r="9" spans="1:10">
      <c r="A9" s="3">
        <v>5</v>
      </c>
      <c r="B9" s="14" t="s">
        <v>216</v>
      </c>
      <c r="C9" s="13" t="s">
        <v>297</v>
      </c>
      <c r="D9" s="3">
        <v>1</v>
      </c>
      <c r="E9" s="4" t="str">
        <f>IF(F9&gt;=30000000,"TSCĐ","CCDC")</f>
        <v>TSCĐ</v>
      </c>
      <c r="F9" s="5">
        <v>320000000</v>
      </c>
      <c r="G9" s="6">
        <v>7</v>
      </c>
      <c r="H9" s="6">
        <v>25</v>
      </c>
      <c r="I9" s="7">
        <f>IF(H9&lt;=G9,0,(H9-G9)/H9)</f>
        <v>0.72</v>
      </c>
      <c r="J9" s="8">
        <f>D9*F9*I9</f>
        <v>230400000</v>
      </c>
    </row>
    <row r="10" spans="1:10">
      <c r="A10" s="30" t="s">
        <v>15</v>
      </c>
      <c r="B10" s="30"/>
      <c r="C10" s="30"/>
      <c r="D10" s="30"/>
      <c r="E10" s="30"/>
      <c r="F10" s="30"/>
      <c r="G10" s="30"/>
      <c r="H10" s="30"/>
      <c r="I10" s="30"/>
      <c r="J10" s="30"/>
    </row>
    <row r="11" spans="1:10">
      <c r="A11" s="3">
        <v>3</v>
      </c>
      <c r="B11" s="14"/>
      <c r="C11" s="14"/>
      <c r="D11" s="3">
        <v>1</v>
      </c>
      <c r="E11" s="9" t="str">
        <f t="shared" ref="E11:E27" si="3">IF(F11&gt;=30000000,"TSCĐ","CCDC")</f>
        <v>CCDC</v>
      </c>
      <c r="F11" s="5"/>
      <c r="G11" s="6"/>
      <c r="H11" s="6"/>
      <c r="I11" s="7">
        <f t="shared" ref="I11:I27" si="4">IF(H11&lt;=G11,0,(H11-G11)/H11)</f>
        <v>0</v>
      </c>
      <c r="J11" s="8">
        <f t="shared" ref="J11:J27" si="5">D11*F11*I11</f>
        <v>0</v>
      </c>
    </row>
    <row r="12" spans="1:10">
      <c r="A12" s="3">
        <v>4</v>
      </c>
      <c r="B12" s="14"/>
      <c r="C12" s="14"/>
      <c r="D12" s="3">
        <v>1</v>
      </c>
      <c r="E12" s="4" t="str">
        <f t="shared" si="3"/>
        <v>CCDC</v>
      </c>
      <c r="F12" s="5"/>
      <c r="G12" s="6"/>
      <c r="H12" s="6"/>
      <c r="I12" s="7">
        <f t="shared" si="4"/>
        <v>0</v>
      </c>
      <c r="J12" s="8">
        <f t="shared" si="5"/>
        <v>0</v>
      </c>
    </row>
    <row r="13" spans="1:10">
      <c r="A13" s="3">
        <v>5</v>
      </c>
      <c r="B13" s="14"/>
      <c r="C13" s="14"/>
      <c r="D13" s="3">
        <v>1</v>
      </c>
      <c r="E13" s="9" t="str">
        <f t="shared" si="3"/>
        <v>CCDC</v>
      </c>
      <c r="F13" s="5"/>
      <c r="G13" s="6"/>
      <c r="H13" s="6"/>
      <c r="I13" s="7">
        <f t="shared" si="4"/>
        <v>0</v>
      </c>
      <c r="J13" s="8">
        <f t="shared" si="5"/>
        <v>0</v>
      </c>
    </row>
    <row r="14" spans="1:10">
      <c r="A14" s="3">
        <v>6</v>
      </c>
      <c r="B14" s="14"/>
      <c r="C14" s="14"/>
      <c r="D14" s="3">
        <v>1</v>
      </c>
      <c r="E14" s="4" t="str">
        <f t="shared" si="3"/>
        <v>CCDC</v>
      </c>
      <c r="F14" s="5"/>
      <c r="G14" s="6"/>
      <c r="H14" s="6"/>
      <c r="I14" s="7">
        <f t="shared" si="4"/>
        <v>0</v>
      </c>
      <c r="J14" s="8">
        <f t="shared" si="5"/>
        <v>0</v>
      </c>
    </row>
    <row r="15" spans="1:10">
      <c r="A15" s="3">
        <v>7</v>
      </c>
      <c r="B15" s="14"/>
      <c r="C15" s="14"/>
      <c r="D15" s="3">
        <v>1</v>
      </c>
      <c r="E15" s="4" t="str">
        <f t="shared" si="3"/>
        <v>CCDC</v>
      </c>
      <c r="F15" s="5"/>
      <c r="G15" s="6"/>
      <c r="H15" s="6"/>
      <c r="I15" s="7">
        <f t="shared" si="4"/>
        <v>0</v>
      </c>
      <c r="J15" s="8">
        <f t="shared" si="5"/>
        <v>0</v>
      </c>
    </row>
    <row r="16" spans="1:10">
      <c r="A16" s="3">
        <v>8</v>
      </c>
      <c r="B16" s="14"/>
      <c r="C16" s="14"/>
      <c r="D16" s="3">
        <v>1</v>
      </c>
      <c r="E16" s="4" t="str">
        <f t="shared" si="3"/>
        <v>CCDC</v>
      </c>
      <c r="F16" s="5"/>
      <c r="G16" s="6"/>
      <c r="H16" s="6"/>
      <c r="I16" s="7">
        <f t="shared" si="4"/>
        <v>0</v>
      </c>
      <c r="J16" s="8">
        <f t="shared" si="5"/>
        <v>0</v>
      </c>
    </row>
    <row r="17" spans="1:10">
      <c r="A17" s="3">
        <v>9</v>
      </c>
      <c r="B17" s="14"/>
      <c r="C17" s="14"/>
      <c r="D17" s="3">
        <v>1</v>
      </c>
      <c r="E17" s="9" t="str">
        <f t="shared" si="3"/>
        <v>CCDC</v>
      </c>
      <c r="F17" s="5"/>
      <c r="G17" s="6"/>
      <c r="H17" s="6"/>
      <c r="I17" s="7">
        <f t="shared" si="4"/>
        <v>0</v>
      </c>
      <c r="J17" s="8">
        <f t="shared" si="5"/>
        <v>0</v>
      </c>
    </row>
    <row r="18" spans="1:10">
      <c r="A18" s="3">
        <v>10</v>
      </c>
      <c r="B18" s="14"/>
      <c r="C18" s="14"/>
      <c r="D18" s="3">
        <v>1</v>
      </c>
      <c r="E18" s="9" t="str">
        <f t="shared" si="3"/>
        <v>CCDC</v>
      </c>
      <c r="F18" s="5"/>
      <c r="G18" s="6"/>
      <c r="H18" s="6"/>
      <c r="I18" s="7">
        <f t="shared" si="4"/>
        <v>0</v>
      </c>
      <c r="J18" s="8">
        <f t="shared" si="5"/>
        <v>0</v>
      </c>
    </row>
    <row r="19" spans="1:10">
      <c r="A19" s="3">
        <v>11</v>
      </c>
      <c r="B19" s="14"/>
      <c r="C19" s="14"/>
      <c r="D19" s="3">
        <v>1</v>
      </c>
      <c r="E19" s="9" t="str">
        <f t="shared" si="3"/>
        <v>CCDC</v>
      </c>
      <c r="F19" s="5"/>
      <c r="G19" s="6"/>
      <c r="H19" s="6"/>
      <c r="I19" s="7">
        <f t="shared" si="4"/>
        <v>0</v>
      </c>
      <c r="J19" s="8">
        <f t="shared" si="5"/>
        <v>0</v>
      </c>
    </row>
    <row r="20" spans="1:10">
      <c r="A20" s="3">
        <v>12</v>
      </c>
      <c r="B20" s="14"/>
      <c r="C20" s="14"/>
      <c r="D20" s="3">
        <v>1</v>
      </c>
      <c r="E20" s="9" t="str">
        <f t="shared" si="3"/>
        <v>CCDC</v>
      </c>
      <c r="F20" s="5"/>
      <c r="G20" s="6"/>
      <c r="H20" s="6"/>
      <c r="I20" s="7">
        <f t="shared" si="4"/>
        <v>0</v>
      </c>
      <c r="J20" s="8">
        <f t="shared" si="5"/>
        <v>0</v>
      </c>
    </row>
    <row r="21" spans="1:10">
      <c r="A21" s="3">
        <v>13</v>
      </c>
      <c r="B21" s="14"/>
      <c r="C21" s="14"/>
      <c r="D21" s="3">
        <v>1</v>
      </c>
      <c r="E21" s="9" t="str">
        <f t="shared" si="3"/>
        <v>CCDC</v>
      </c>
      <c r="F21" s="5"/>
      <c r="G21" s="6"/>
      <c r="H21" s="6"/>
      <c r="I21" s="7">
        <f t="shared" si="4"/>
        <v>0</v>
      </c>
      <c r="J21" s="8">
        <f t="shared" si="5"/>
        <v>0</v>
      </c>
    </row>
    <row r="22" spans="1:10">
      <c r="A22" s="3">
        <v>14</v>
      </c>
      <c r="B22" s="14"/>
      <c r="C22" s="14"/>
      <c r="D22" s="3">
        <v>1</v>
      </c>
      <c r="E22" s="9" t="str">
        <f t="shared" si="3"/>
        <v>CCDC</v>
      </c>
      <c r="F22" s="5"/>
      <c r="G22" s="6"/>
      <c r="H22" s="6"/>
      <c r="I22" s="7">
        <f t="shared" si="4"/>
        <v>0</v>
      </c>
      <c r="J22" s="8">
        <f t="shared" si="5"/>
        <v>0</v>
      </c>
    </row>
    <row r="23" spans="1:10">
      <c r="A23" s="3">
        <v>15</v>
      </c>
      <c r="B23" s="14"/>
      <c r="C23" s="14"/>
      <c r="D23" s="3">
        <v>1</v>
      </c>
      <c r="E23" s="9" t="str">
        <f t="shared" si="3"/>
        <v>CCDC</v>
      </c>
      <c r="F23" s="5"/>
      <c r="G23" s="6"/>
      <c r="H23" s="6"/>
      <c r="I23" s="7">
        <f t="shared" si="4"/>
        <v>0</v>
      </c>
      <c r="J23" s="8">
        <f t="shared" si="5"/>
        <v>0</v>
      </c>
    </row>
    <row r="24" spans="1:10">
      <c r="A24" s="3">
        <v>16</v>
      </c>
      <c r="B24" s="14"/>
      <c r="C24" s="14"/>
      <c r="D24" s="3">
        <v>1</v>
      </c>
      <c r="E24" s="9" t="str">
        <f t="shared" si="3"/>
        <v>CCDC</v>
      </c>
      <c r="F24" s="5"/>
      <c r="G24" s="6"/>
      <c r="H24" s="6"/>
      <c r="I24" s="7">
        <f t="shared" si="4"/>
        <v>0</v>
      </c>
      <c r="J24" s="8">
        <f t="shared" si="5"/>
        <v>0</v>
      </c>
    </row>
    <row r="25" spans="1:10">
      <c r="A25" s="3">
        <v>17</v>
      </c>
      <c r="B25" s="14"/>
      <c r="C25" s="14"/>
      <c r="D25" s="3">
        <v>1</v>
      </c>
      <c r="E25" s="9" t="str">
        <f t="shared" si="3"/>
        <v>CCDC</v>
      </c>
      <c r="F25" s="5"/>
      <c r="G25" s="6"/>
      <c r="H25" s="6"/>
      <c r="I25" s="7">
        <f t="shared" si="4"/>
        <v>0</v>
      </c>
      <c r="J25" s="8">
        <f t="shared" si="5"/>
        <v>0</v>
      </c>
    </row>
    <row r="26" spans="1:10">
      <c r="A26" s="3">
        <v>18</v>
      </c>
      <c r="B26" s="14"/>
      <c r="C26" s="14"/>
      <c r="D26" s="3">
        <v>1</v>
      </c>
      <c r="E26" s="9" t="str">
        <f t="shared" si="3"/>
        <v>CCDC</v>
      </c>
      <c r="F26" s="5"/>
      <c r="G26" s="6"/>
      <c r="H26" s="6"/>
      <c r="I26" s="7">
        <f t="shared" si="4"/>
        <v>0</v>
      </c>
      <c r="J26" s="8">
        <f t="shared" si="5"/>
        <v>0</v>
      </c>
    </row>
    <row r="27" spans="1:10">
      <c r="A27" s="3">
        <v>19</v>
      </c>
      <c r="B27" s="14"/>
      <c r="C27" s="14"/>
      <c r="D27" s="3">
        <v>1</v>
      </c>
      <c r="E27" s="9" t="str">
        <f t="shared" si="3"/>
        <v>CCDC</v>
      </c>
      <c r="F27" s="5"/>
      <c r="G27" s="6"/>
      <c r="H27" s="6"/>
      <c r="I27" s="7">
        <f t="shared" si="4"/>
        <v>0</v>
      </c>
      <c r="J27" s="8">
        <f t="shared" si="5"/>
        <v>0</v>
      </c>
    </row>
    <row r="28" spans="1:10">
      <c r="A28" s="30" t="s">
        <v>33</v>
      </c>
      <c r="B28" s="30"/>
      <c r="C28" s="30"/>
      <c r="D28" s="30"/>
      <c r="E28" s="30"/>
      <c r="F28" s="30"/>
      <c r="G28" s="30"/>
      <c r="H28" s="30"/>
      <c r="I28" s="30"/>
      <c r="J28" s="30"/>
    </row>
    <row r="29" spans="1:10">
      <c r="A29" s="3">
        <v>20</v>
      </c>
      <c r="B29" s="14" t="s">
        <v>217</v>
      </c>
      <c r="C29" s="14" t="s">
        <v>218</v>
      </c>
      <c r="D29" s="26">
        <v>5</v>
      </c>
      <c r="E29" s="9" t="str">
        <f t="shared" ref="E29:E92" si="6">IF(F29&gt;=30000000,"TSCĐ","CCDC")</f>
        <v>CCDC</v>
      </c>
      <c r="F29" s="27"/>
      <c r="G29" s="6"/>
      <c r="H29" s="6"/>
      <c r="I29" s="7">
        <f t="shared" ref="I29:I92" si="7">IF(H29&lt;=G29,0,(H29-G29)/H29)</f>
        <v>0</v>
      </c>
      <c r="J29" s="8">
        <f t="shared" ref="J29:J92" si="8">D29*F29*I29</f>
        <v>0</v>
      </c>
    </row>
    <row r="30" spans="1:10">
      <c r="A30" s="3">
        <v>21</v>
      </c>
      <c r="B30" s="14" t="s">
        <v>219</v>
      </c>
      <c r="C30" s="14"/>
      <c r="D30" s="26">
        <v>2</v>
      </c>
      <c r="E30" s="9" t="str">
        <f t="shared" si="6"/>
        <v>CCDC</v>
      </c>
      <c r="F30" s="27"/>
      <c r="G30" s="6"/>
      <c r="H30" s="6"/>
      <c r="I30" s="7">
        <f t="shared" si="7"/>
        <v>0</v>
      </c>
      <c r="J30" s="8">
        <f t="shared" si="8"/>
        <v>0</v>
      </c>
    </row>
    <row r="31" spans="1:10">
      <c r="A31" s="3">
        <v>22</v>
      </c>
      <c r="B31" s="14" t="s">
        <v>220</v>
      </c>
      <c r="C31" s="14"/>
      <c r="D31" s="26">
        <v>0</v>
      </c>
      <c r="E31" s="9" t="str">
        <f t="shared" si="6"/>
        <v>CCDC</v>
      </c>
      <c r="F31" s="27"/>
      <c r="G31" s="6"/>
      <c r="H31" s="6"/>
      <c r="I31" s="7">
        <f t="shared" si="7"/>
        <v>0</v>
      </c>
      <c r="J31" s="8">
        <f t="shared" si="8"/>
        <v>0</v>
      </c>
    </row>
    <row r="32" spans="1:10">
      <c r="A32" s="3">
        <v>23</v>
      </c>
      <c r="B32" s="14" t="s">
        <v>221</v>
      </c>
      <c r="C32" s="14"/>
      <c r="D32" s="26">
        <v>1</v>
      </c>
      <c r="E32" s="9" t="str">
        <f t="shared" si="6"/>
        <v>CCDC</v>
      </c>
      <c r="F32" s="27"/>
      <c r="G32" s="6"/>
      <c r="H32" s="6"/>
      <c r="I32" s="7">
        <f t="shared" si="7"/>
        <v>0</v>
      </c>
      <c r="J32" s="8">
        <f t="shared" si="8"/>
        <v>0</v>
      </c>
    </row>
    <row r="33" spans="1:10">
      <c r="A33" s="3">
        <v>24</v>
      </c>
      <c r="B33" s="14" t="s">
        <v>222</v>
      </c>
      <c r="C33" s="14"/>
      <c r="D33" s="26">
        <v>2</v>
      </c>
      <c r="E33" s="9" t="str">
        <f t="shared" si="6"/>
        <v>CCDC</v>
      </c>
      <c r="F33" s="27"/>
      <c r="G33" s="6"/>
      <c r="H33" s="6"/>
      <c r="I33" s="7">
        <f t="shared" si="7"/>
        <v>0</v>
      </c>
      <c r="J33" s="8">
        <f t="shared" si="8"/>
        <v>0</v>
      </c>
    </row>
    <row r="34" spans="1:10">
      <c r="A34" s="3">
        <v>25</v>
      </c>
      <c r="B34" s="14" t="s">
        <v>223</v>
      </c>
      <c r="C34" s="14"/>
      <c r="D34" s="26">
        <v>5</v>
      </c>
      <c r="E34" s="9" t="str">
        <f t="shared" si="6"/>
        <v>CCDC</v>
      </c>
      <c r="F34" s="27"/>
      <c r="G34" s="6"/>
      <c r="H34" s="6"/>
      <c r="I34" s="7">
        <f t="shared" si="7"/>
        <v>0</v>
      </c>
      <c r="J34" s="8">
        <f t="shared" si="8"/>
        <v>0</v>
      </c>
    </row>
    <row r="35" spans="1:10">
      <c r="A35" s="3">
        <v>26</v>
      </c>
      <c r="B35" s="14" t="s">
        <v>224</v>
      </c>
      <c r="C35" s="14"/>
      <c r="D35" s="26">
        <v>1</v>
      </c>
      <c r="E35" s="9" t="str">
        <f t="shared" si="6"/>
        <v>CCDC</v>
      </c>
      <c r="F35" s="27">
        <v>150000</v>
      </c>
      <c r="G35" s="6"/>
      <c r="H35" s="6"/>
      <c r="I35" s="7">
        <f t="shared" si="7"/>
        <v>0</v>
      </c>
      <c r="J35" s="8">
        <f t="shared" si="8"/>
        <v>0</v>
      </c>
    </row>
    <row r="36" spans="1:10">
      <c r="A36" s="3">
        <v>27</v>
      </c>
      <c r="B36" s="14" t="s">
        <v>225</v>
      </c>
      <c r="C36" s="14"/>
      <c r="D36" s="26">
        <v>12</v>
      </c>
      <c r="E36" s="9" t="str">
        <f t="shared" si="6"/>
        <v>CCDC</v>
      </c>
      <c r="F36" s="27">
        <v>80000</v>
      </c>
      <c r="G36" s="6"/>
      <c r="H36" s="6"/>
      <c r="I36" s="7">
        <f t="shared" si="7"/>
        <v>0</v>
      </c>
      <c r="J36" s="8">
        <f t="shared" si="8"/>
        <v>0</v>
      </c>
    </row>
    <row r="37" spans="1:10">
      <c r="A37" s="3">
        <v>28</v>
      </c>
      <c r="B37" s="14" t="s">
        <v>226</v>
      </c>
      <c r="C37" s="14"/>
      <c r="D37" s="26">
        <v>2</v>
      </c>
      <c r="E37" s="9" t="str">
        <f t="shared" si="6"/>
        <v>CCDC</v>
      </c>
      <c r="F37" s="27">
        <v>80000</v>
      </c>
      <c r="G37" s="6"/>
      <c r="H37" s="6"/>
      <c r="I37" s="7">
        <f t="shared" si="7"/>
        <v>0</v>
      </c>
      <c r="J37" s="8">
        <f t="shared" si="8"/>
        <v>0</v>
      </c>
    </row>
    <row r="38" spans="1:10">
      <c r="A38" s="3">
        <v>29</v>
      </c>
      <c r="B38" s="14" t="s">
        <v>227</v>
      </c>
      <c r="C38" s="14"/>
      <c r="D38" s="26">
        <v>2</v>
      </c>
      <c r="E38" s="9" t="str">
        <f t="shared" si="6"/>
        <v>CCDC</v>
      </c>
      <c r="F38" s="27">
        <v>50000</v>
      </c>
      <c r="G38" s="6"/>
      <c r="H38" s="6"/>
      <c r="I38" s="7">
        <f t="shared" si="7"/>
        <v>0</v>
      </c>
      <c r="J38" s="8">
        <f t="shared" si="8"/>
        <v>0</v>
      </c>
    </row>
    <row r="39" spans="1:10">
      <c r="A39" s="3">
        <v>30</v>
      </c>
      <c r="B39" s="28" t="s">
        <v>228</v>
      </c>
      <c r="C39" s="14"/>
      <c r="D39" s="26">
        <v>5</v>
      </c>
      <c r="E39" s="9" t="str">
        <f t="shared" si="6"/>
        <v>CCDC</v>
      </c>
      <c r="F39" s="27">
        <v>600000</v>
      </c>
      <c r="G39" s="6"/>
      <c r="H39" s="6"/>
      <c r="I39" s="7">
        <f t="shared" si="7"/>
        <v>0</v>
      </c>
      <c r="J39" s="8">
        <f t="shared" si="8"/>
        <v>0</v>
      </c>
    </row>
    <row r="40" spans="1:10">
      <c r="A40" s="3">
        <v>31</v>
      </c>
      <c r="B40" s="14" t="s">
        <v>229</v>
      </c>
      <c r="C40" s="14" t="s">
        <v>230</v>
      </c>
      <c r="D40" s="26">
        <v>2</v>
      </c>
      <c r="E40" s="9" t="str">
        <f t="shared" si="6"/>
        <v>CCDC</v>
      </c>
      <c r="F40" s="27">
        <v>7000000</v>
      </c>
      <c r="G40" s="6"/>
      <c r="H40" s="6"/>
      <c r="I40" s="7">
        <f t="shared" si="7"/>
        <v>0</v>
      </c>
      <c r="J40" s="8">
        <f t="shared" si="8"/>
        <v>0</v>
      </c>
    </row>
    <row r="41" spans="1:10">
      <c r="A41" s="3">
        <v>32</v>
      </c>
      <c r="B41" s="14" t="s">
        <v>231</v>
      </c>
      <c r="C41" s="14"/>
      <c r="D41" s="26">
        <v>8</v>
      </c>
      <c r="E41" s="9" t="str">
        <f t="shared" si="6"/>
        <v>CCDC</v>
      </c>
      <c r="F41" s="27"/>
      <c r="G41" s="6"/>
      <c r="H41" s="6"/>
      <c r="I41" s="7">
        <f t="shared" si="7"/>
        <v>0</v>
      </c>
      <c r="J41" s="8">
        <f t="shared" si="8"/>
        <v>0</v>
      </c>
    </row>
    <row r="42" spans="1:10">
      <c r="A42" s="3">
        <v>33</v>
      </c>
      <c r="B42" s="14" t="s">
        <v>232</v>
      </c>
      <c r="C42" s="14"/>
      <c r="D42" s="26">
        <v>1</v>
      </c>
      <c r="E42" s="9" t="str">
        <f t="shared" si="6"/>
        <v>CCDC</v>
      </c>
      <c r="F42" s="27">
        <v>350000</v>
      </c>
      <c r="G42" s="6"/>
      <c r="H42" s="6"/>
      <c r="I42" s="7">
        <f t="shared" si="7"/>
        <v>0</v>
      </c>
      <c r="J42" s="8">
        <f t="shared" si="8"/>
        <v>0</v>
      </c>
    </row>
    <row r="43" spans="1:10">
      <c r="A43" s="3">
        <v>34</v>
      </c>
      <c r="B43" s="14" t="s">
        <v>233</v>
      </c>
      <c r="C43" s="14"/>
      <c r="D43" s="26">
        <v>2</v>
      </c>
      <c r="E43" s="9" t="str">
        <f t="shared" si="6"/>
        <v>CCDC</v>
      </c>
      <c r="F43" s="27"/>
      <c r="G43" s="6"/>
      <c r="H43" s="6"/>
      <c r="I43" s="7">
        <f t="shared" si="7"/>
        <v>0</v>
      </c>
      <c r="J43" s="8">
        <f t="shared" si="8"/>
        <v>0</v>
      </c>
    </row>
    <row r="44" spans="1:10">
      <c r="A44" s="3">
        <v>35</v>
      </c>
      <c r="B44" s="14" t="s">
        <v>234</v>
      </c>
      <c r="C44" s="14"/>
      <c r="D44" s="26">
        <v>3</v>
      </c>
      <c r="E44" s="9" t="str">
        <f t="shared" si="6"/>
        <v>CCDC</v>
      </c>
      <c r="F44" s="27"/>
      <c r="G44" s="6"/>
      <c r="H44" s="6"/>
      <c r="I44" s="7">
        <f t="shared" si="7"/>
        <v>0</v>
      </c>
      <c r="J44" s="8">
        <f t="shared" si="8"/>
        <v>0</v>
      </c>
    </row>
    <row r="45" spans="1:10">
      <c r="A45" s="3">
        <v>36</v>
      </c>
      <c r="B45" s="14" t="s">
        <v>78</v>
      </c>
      <c r="C45" s="14"/>
      <c r="D45" s="26">
        <v>16</v>
      </c>
      <c r="E45" s="9" t="str">
        <f t="shared" si="6"/>
        <v>CCDC</v>
      </c>
      <c r="F45" s="27">
        <v>80000</v>
      </c>
      <c r="G45" s="6"/>
      <c r="H45" s="6"/>
      <c r="I45" s="7">
        <f t="shared" si="7"/>
        <v>0</v>
      </c>
      <c r="J45" s="8">
        <f t="shared" si="8"/>
        <v>0</v>
      </c>
    </row>
    <row r="46" spans="1:10">
      <c r="A46" s="3">
        <v>37</v>
      </c>
      <c r="B46" s="14" t="s">
        <v>235</v>
      </c>
      <c r="C46" s="14"/>
      <c r="D46" s="26">
        <v>1</v>
      </c>
      <c r="E46" s="9" t="str">
        <f t="shared" si="6"/>
        <v>CCDC</v>
      </c>
      <c r="F46" s="27">
        <v>100000</v>
      </c>
      <c r="G46" s="6"/>
      <c r="H46" s="6"/>
      <c r="I46" s="7">
        <f t="shared" si="7"/>
        <v>0</v>
      </c>
      <c r="J46" s="8">
        <f t="shared" si="8"/>
        <v>0</v>
      </c>
    </row>
    <row r="47" spans="1:10">
      <c r="A47" s="3">
        <v>38</v>
      </c>
      <c r="B47" s="14" t="s">
        <v>140</v>
      </c>
      <c r="C47" s="14"/>
      <c r="D47" s="26">
        <v>34</v>
      </c>
      <c r="E47" s="9" t="str">
        <f t="shared" si="6"/>
        <v>CCDC</v>
      </c>
      <c r="F47" s="27">
        <v>40000</v>
      </c>
      <c r="G47" s="6"/>
      <c r="H47" s="6"/>
      <c r="I47" s="7">
        <f t="shared" si="7"/>
        <v>0</v>
      </c>
      <c r="J47" s="8">
        <f t="shared" si="8"/>
        <v>0</v>
      </c>
    </row>
    <row r="48" spans="1:10">
      <c r="A48" s="3">
        <v>39</v>
      </c>
      <c r="B48" s="14" t="s">
        <v>236</v>
      </c>
      <c r="C48" s="14"/>
      <c r="D48" s="26">
        <v>2</v>
      </c>
      <c r="E48" s="9" t="str">
        <f t="shared" si="6"/>
        <v>CCDC</v>
      </c>
      <c r="F48" s="27">
        <v>200000</v>
      </c>
      <c r="G48" s="6"/>
      <c r="H48" s="6"/>
      <c r="I48" s="7">
        <f t="shared" si="7"/>
        <v>0</v>
      </c>
      <c r="J48" s="8">
        <f t="shared" si="8"/>
        <v>0</v>
      </c>
    </row>
    <row r="49" spans="1:10">
      <c r="A49" s="3">
        <v>40</v>
      </c>
      <c r="B49" s="14" t="s">
        <v>237</v>
      </c>
      <c r="C49" s="14"/>
      <c r="D49" s="26">
        <v>2</v>
      </c>
      <c r="E49" s="9" t="str">
        <f t="shared" si="6"/>
        <v>CCDC</v>
      </c>
      <c r="F49" s="27"/>
      <c r="G49" s="6"/>
      <c r="H49" s="6"/>
      <c r="I49" s="7">
        <f t="shared" si="7"/>
        <v>0</v>
      </c>
      <c r="J49" s="8">
        <f t="shared" si="8"/>
        <v>0</v>
      </c>
    </row>
    <row r="50" spans="1:10">
      <c r="A50" s="3">
        <v>41</v>
      </c>
      <c r="B50" s="14" t="s">
        <v>238</v>
      </c>
      <c r="C50" s="14"/>
      <c r="D50" s="26">
        <v>4</v>
      </c>
      <c r="E50" s="9" t="str">
        <f t="shared" si="6"/>
        <v>CCDC</v>
      </c>
      <c r="F50" s="27"/>
      <c r="G50" s="6"/>
      <c r="H50" s="6"/>
      <c r="I50" s="7">
        <f t="shared" si="7"/>
        <v>0</v>
      </c>
      <c r="J50" s="8">
        <f t="shared" si="8"/>
        <v>0</v>
      </c>
    </row>
    <row r="51" spans="1:10">
      <c r="A51" s="3">
        <v>42</v>
      </c>
      <c r="B51" s="14" t="s">
        <v>239</v>
      </c>
      <c r="C51" s="14"/>
      <c r="D51" s="26">
        <v>1</v>
      </c>
      <c r="E51" s="9" t="str">
        <f t="shared" si="6"/>
        <v>CCDC</v>
      </c>
      <c r="F51" s="27"/>
      <c r="G51" s="6"/>
      <c r="H51" s="6"/>
      <c r="I51" s="7">
        <f t="shared" si="7"/>
        <v>0</v>
      </c>
      <c r="J51" s="8">
        <f t="shared" si="8"/>
        <v>0</v>
      </c>
    </row>
    <row r="52" spans="1:10">
      <c r="A52" s="3">
        <v>43</v>
      </c>
      <c r="B52" s="14" t="s">
        <v>240</v>
      </c>
      <c r="C52" s="14"/>
      <c r="D52" s="26">
        <v>1</v>
      </c>
      <c r="E52" s="9" t="str">
        <f t="shared" si="6"/>
        <v>CCDC</v>
      </c>
      <c r="F52" s="27">
        <v>200000</v>
      </c>
      <c r="G52" s="6"/>
      <c r="H52" s="6"/>
      <c r="I52" s="7">
        <f t="shared" si="7"/>
        <v>0</v>
      </c>
      <c r="J52" s="8">
        <f t="shared" si="8"/>
        <v>0</v>
      </c>
    </row>
    <row r="53" spans="1:10">
      <c r="A53" s="3">
        <v>44</v>
      </c>
      <c r="B53" s="29" t="s">
        <v>241</v>
      </c>
      <c r="C53" s="29" t="s">
        <v>242</v>
      </c>
      <c r="D53" s="26">
        <v>1</v>
      </c>
      <c r="E53" s="9" t="str">
        <f t="shared" si="6"/>
        <v>CCDC</v>
      </c>
      <c r="F53" s="27"/>
      <c r="G53" s="6"/>
      <c r="H53" s="6"/>
      <c r="I53" s="7">
        <f t="shared" si="7"/>
        <v>0</v>
      </c>
      <c r="J53" s="8">
        <f t="shared" si="8"/>
        <v>0</v>
      </c>
    </row>
    <row r="54" spans="1:10">
      <c r="A54" s="3">
        <v>45</v>
      </c>
      <c r="B54" s="14" t="s">
        <v>243</v>
      </c>
      <c r="C54" s="14"/>
      <c r="D54" s="26">
        <v>1</v>
      </c>
      <c r="E54" s="9" t="str">
        <f t="shared" si="6"/>
        <v>CCDC</v>
      </c>
      <c r="F54" s="27">
        <v>1500000</v>
      </c>
      <c r="G54" s="6"/>
      <c r="H54" s="6"/>
      <c r="I54" s="7">
        <f t="shared" si="7"/>
        <v>0</v>
      </c>
      <c r="J54" s="8">
        <f t="shared" si="8"/>
        <v>0</v>
      </c>
    </row>
    <row r="55" spans="1:10">
      <c r="A55" s="3">
        <v>46</v>
      </c>
      <c r="B55" s="14" t="s">
        <v>244</v>
      </c>
      <c r="C55" s="14"/>
      <c r="D55" s="26">
        <v>9</v>
      </c>
      <c r="E55" s="9" t="str">
        <f t="shared" si="6"/>
        <v>CCDC</v>
      </c>
      <c r="F55" s="27">
        <v>25000</v>
      </c>
      <c r="G55" s="6"/>
      <c r="H55" s="6"/>
      <c r="I55" s="7">
        <f t="shared" si="7"/>
        <v>0</v>
      </c>
      <c r="J55" s="8">
        <f t="shared" si="8"/>
        <v>0</v>
      </c>
    </row>
    <row r="56" spans="1:10">
      <c r="A56" s="3">
        <v>47</v>
      </c>
      <c r="B56" s="14" t="s">
        <v>94</v>
      </c>
      <c r="C56" s="14" t="s">
        <v>245</v>
      </c>
      <c r="D56" s="26">
        <v>1</v>
      </c>
      <c r="E56" s="9" t="str">
        <f t="shared" si="6"/>
        <v>CCDC</v>
      </c>
      <c r="F56" s="27">
        <v>5000000</v>
      </c>
      <c r="G56" s="6"/>
      <c r="H56" s="6"/>
      <c r="I56" s="7">
        <f t="shared" si="7"/>
        <v>0</v>
      </c>
      <c r="J56" s="8">
        <f t="shared" si="8"/>
        <v>0</v>
      </c>
    </row>
    <row r="57" spans="1:10">
      <c r="A57" s="3">
        <v>48</v>
      </c>
      <c r="B57" s="14" t="s">
        <v>246</v>
      </c>
      <c r="C57" s="14" t="s">
        <v>247</v>
      </c>
      <c r="D57" s="26">
        <v>1</v>
      </c>
      <c r="E57" s="9" t="str">
        <f t="shared" si="6"/>
        <v>CCDC</v>
      </c>
      <c r="F57" s="27">
        <v>500000</v>
      </c>
      <c r="G57" s="6"/>
      <c r="H57" s="6"/>
      <c r="I57" s="7">
        <f t="shared" si="7"/>
        <v>0</v>
      </c>
      <c r="J57" s="8">
        <f t="shared" si="8"/>
        <v>0</v>
      </c>
    </row>
    <row r="58" spans="1:10">
      <c r="A58" s="3">
        <v>49</v>
      </c>
      <c r="B58" s="14" t="s">
        <v>248</v>
      </c>
      <c r="C58" s="14"/>
      <c r="D58" s="26">
        <v>3</v>
      </c>
      <c r="E58" s="9" t="str">
        <f t="shared" si="6"/>
        <v>CCDC</v>
      </c>
      <c r="F58" s="27">
        <v>150000</v>
      </c>
      <c r="G58" s="6"/>
      <c r="H58" s="6"/>
      <c r="I58" s="7">
        <f t="shared" si="7"/>
        <v>0</v>
      </c>
      <c r="J58" s="8">
        <f t="shared" si="8"/>
        <v>0</v>
      </c>
    </row>
    <row r="59" spans="1:10">
      <c r="A59" s="3">
        <v>50</v>
      </c>
      <c r="B59" s="14" t="s">
        <v>249</v>
      </c>
      <c r="C59" s="14"/>
      <c r="D59" s="26">
        <v>3</v>
      </c>
      <c r="E59" s="9" t="str">
        <f t="shared" si="6"/>
        <v>CCDC</v>
      </c>
      <c r="F59" s="27">
        <v>50000</v>
      </c>
      <c r="G59" s="6"/>
      <c r="H59" s="6"/>
      <c r="I59" s="7">
        <f t="shared" si="7"/>
        <v>0</v>
      </c>
      <c r="J59" s="8">
        <f t="shared" si="8"/>
        <v>0</v>
      </c>
    </row>
    <row r="60" spans="1:10">
      <c r="A60" s="3">
        <v>51</v>
      </c>
      <c r="B60" s="14" t="s">
        <v>250</v>
      </c>
      <c r="C60" s="14"/>
      <c r="D60" s="26">
        <v>1</v>
      </c>
      <c r="E60" s="9" t="str">
        <f t="shared" si="6"/>
        <v>CCDC</v>
      </c>
      <c r="F60" s="27">
        <v>100000</v>
      </c>
      <c r="G60" s="6"/>
      <c r="H60" s="6"/>
      <c r="I60" s="7">
        <f t="shared" si="7"/>
        <v>0</v>
      </c>
      <c r="J60" s="8">
        <f t="shared" si="8"/>
        <v>0</v>
      </c>
    </row>
    <row r="61" spans="1:10">
      <c r="A61" s="3">
        <v>52</v>
      </c>
      <c r="B61" s="14" t="s">
        <v>251</v>
      </c>
      <c r="C61" s="14"/>
      <c r="D61" s="26">
        <v>3</v>
      </c>
      <c r="E61" s="9" t="str">
        <f t="shared" si="6"/>
        <v>CCDC</v>
      </c>
      <c r="F61" s="27">
        <v>800000</v>
      </c>
      <c r="G61" s="6"/>
      <c r="H61" s="6"/>
      <c r="I61" s="7">
        <f t="shared" si="7"/>
        <v>0</v>
      </c>
      <c r="J61" s="8">
        <f t="shared" si="8"/>
        <v>0</v>
      </c>
    </row>
    <row r="62" spans="1:10">
      <c r="A62" s="3">
        <v>53</v>
      </c>
      <c r="B62" s="14" t="s">
        <v>252</v>
      </c>
      <c r="C62" s="14"/>
      <c r="D62" s="26">
        <v>1</v>
      </c>
      <c r="E62" s="9" t="str">
        <f t="shared" si="6"/>
        <v>CCDC</v>
      </c>
      <c r="F62" s="27">
        <v>1200000</v>
      </c>
      <c r="G62" s="6"/>
      <c r="H62" s="6"/>
      <c r="I62" s="7">
        <f t="shared" si="7"/>
        <v>0</v>
      </c>
      <c r="J62" s="8">
        <f t="shared" si="8"/>
        <v>0</v>
      </c>
    </row>
    <row r="63" spans="1:10">
      <c r="A63" s="3">
        <v>54</v>
      </c>
      <c r="B63" s="14" t="s">
        <v>253</v>
      </c>
      <c r="C63" s="14"/>
      <c r="D63" s="26">
        <v>1</v>
      </c>
      <c r="E63" s="9" t="str">
        <f t="shared" si="6"/>
        <v>CCDC</v>
      </c>
      <c r="F63" s="27"/>
      <c r="G63" s="6"/>
      <c r="H63" s="6"/>
      <c r="I63" s="7">
        <f t="shared" si="7"/>
        <v>0</v>
      </c>
      <c r="J63" s="8">
        <f t="shared" si="8"/>
        <v>0</v>
      </c>
    </row>
    <row r="64" spans="1:10">
      <c r="A64" s="3">
        <v>55</v>
      </c>
      <c r="B64" s="14" t="s">
        <v>77</v>
      </c>
      <c r="C64" s="14"/>
      <c r="D64" s="26">
        <v>1</v>
      </c>
      <c r="E64" s="9" t="str">
        <f t="shared" si="6"/>
        <v>CCDC</v>
      </c>
      <c r="F64" s="27">
        <v>2500000</v>
      </c>
      <c r="G64" s="6"/>
      <c r="H64" s="6"/>
      <c r="I64" s="7">
        <f t="shared" si="7"/>
        <v>0</v>
      </c>
      <c r="J64" s="8">
        <f t="shared" si="8"/>
        <v>0</v>
      </c>
    </row>
    <row r="65" spans="1:10">
      <c r="A65" s="3">
        <v>56</v>
      </c>
      <c r="B65" s="14" t="s">
        <v>254</v>
      </c>
      <c r="C65" s="14" t="s">
        <v>255</v>
      </c>
      <c r="D65" s="26">
        <v>1</v>
      </c>
      <c r="E65" s="9" t="str">
        <f t="shared" si="6"/>
        <v>CCDC</v>
      </c>
      <c r="F65" s="27">
        <v>1500000</v>
      </c>
      <c r="G65" s="6"/>
      <c r="H65" s="6"/>
      <c r="I65" s="7">
        <f t="shared" si="7"/>
        <v>0</v>
      </c>
      <c r="J65" s="8">
        <f t="shared" si="8"/>
        <v>0</v>
      </c>
    </row>
    <row r="66" spans="1:10">
      <c r="A66" s="3">
        <v>57</v>
      </c>
      <c r="B66" s="14" t="s">
        <v>256</v>
      </c>
      <c r="C66" s="14"/>
      <c r="D66" s="26">
        <v>1</v>
      </c>
      <c r="E66" s="9" t="str">
        <f t="shared" si="6"/>
        <v>CCDC</v>
      </c>
      <c r="F66" s="27">
        <v>2000000</v>
      </c>
      <c r="G66" s="6"/>
      <c r="H66" s="6"/>
      <c r="I66" s="7">
        <f t="shared" si="7"/>
        <v>0</v>
      </c>
      <c r="J66" s="8">
        <f t="shared" si="8"/>
        <v>0</v>
      </c>
    </row>
    <row r="67" spans="1:10">
      <c r="A67" s="3">
        <v>58</v>
      </c>
      <c r="B67" s="14" t="s">
        <v>257</v>
      </c>
      <c r="C67" s="14"/>
      <c r="D67" s="26">
        <v>3</v>
      </c>
      <c r="E67" s="9" t="str">
        <f t="shared" si="6"/>
        <v>CCDC</v>
      </c>
      <c r="F67" s="27">
        <v>30000</v>
      </c>
      <c r="G67" s="6"/>
      <c r="H67" s="6"/>
      <c r="I67" s="7">
        <f t="shared" si="7"/>
        <v>0</v>
      </c>
      <c r="J67" s="8">
        <f t="shared" si="8"/>
        <v>0</v>
      </c>
    </row>
    <row r="68" spans="1:10">
      <c r="A68" s="3">
        <v>59</v>
      </c>
      <c r="B68" s="14" t="s">
        <v>258</v>
      </c>
      <c r="C68" s="14"/>
      <c r="D68" s="26">
        <v>1</v>
      </c>
      <c r="E68" s="9" t="str">
        <f t="shared" si="6"/>
        <v>CCDC</v>
      </c>
      <c r="F68" s="27">
        <v>40000</v>
      </c>
      <c r="G68" s="6"/>
      <c r="H68" s="6"/>
      <c r="I68" s="7">
        <f t="shared" si="7"/>
        <v>0</v>
      </c>
      <c r="J68" s="8">
        <f t="shared" si="8"/>
        <v>0</v>
      </c>
    </row>
    <row r="69" spans="1:10">
      <c r="A69" s="3">
        <v>60</v>
      </c>
      <c r="B69" s="14" t="s">
        <v>259</v>
      </c>
      <c r="C69" s="14"/>
      <c r="D69" s="26">
        <v>1</v>
      </c>
      <c r="E69" s="9" t="str">
        <f t="shared" si="6"/>
        <v>CCDC</v>
      </c>
      <c r="F69" s="27"/>
      <c r="G69" s="6"/>
      <c r="H69" s="6"/>
      <c r="I69" s="7">
        <f t="shared" si="7"/>
        <v>0</v>
      </c>
      <c r="J69" s="8">
        <f t="shared" si="8"/>
        <v>0</v>
      </c>
    </row>
    <row r="70" spans="1:10">
      <c r="A70" s="3">
        <v>61</v>
      </c>
      <c r="B70" s="14" t="s">
        <v>260</v>
      </c>
      <c r="C70" s="14"/>
      <c r="D70" s="26">
        <v>4</v>
      </c>
      <c r="E70" s="9" t="str">
        <f t="shared" si="6"/>
        <v>CCDC</v>
      </c>
      <c r="F70" s="27">
        <v>50000</v>
      </c>
      <c r="G70" s="6"/>
      <c r="H70" s="6"/>
      <c r="I70" s="7">
        <f t="shared" si="7"/>
        <v>0</v>
      </c>
      <c r="J70" s="8">
        <f t="shared" si="8"/>
        <v>0</v>
      </c>
    </row>
    <row r="71" spans="1:10">
      <c r="A71" s="3">
        <v>62</v>
      </c>
      <c r="B71" s="14" t="s">
        <v>261</v>
      </c>
      <c r="C71" s="14"/>
      <c r="D71" s="26">
        <v>1</v>
      </c>
      <c r="E71" s="9" t="str">
        <f t="shared" si="6"/>
        <v>CCDC</v>
      </c>
      <c r="F71" s="27">
        <v>7357000</v>
      </c>
      <c r="G71" s="6"/>
      <c r="H71" s="6"/>
      <c r="I71" s="7">
        <f t="shared" si="7"/>
        <v>0</v>
      </c>
      <c r="J71" s="8">
        <f t="shared" si="8"/>
        <v>0</v>
      </c>
    </row>
    <row r="72" spans="1:10">
      <c r="A72" s="3">
        <v>63</v>
      </c>
      <c r="B72" s="14" t="s">
        <v>262</v>
      </c>
      <c r="C72" s="14"/>
      <c r="D72" s="26">
        <v>1</v>
      </c>
      <c r="E72" s="9" t="str">
        <f t="shared" si="6"/>
        <v>CCDC</v>
      </c>
      <c r="F72" s="27"/>
      <c r="G72" s="6"/>
      <c r="H72" s="6"/>
      <c r="I72" s="7">
        <f t="shared" si="7"/>
        <v>0</v>
      </c>
      <c r="J72" s="8">
        <f t="shared" si="8"/>
        <v>0</v>
      </c>
    </row>
    <row r="73" spans="1:10">
      <c r="A73" s="3">
        <v>64</v>
      </c>
      <c r="B73" s="14" t="s">
        <v>263</v>
      </c>
      <c r="C73" s="14"/>
      <c r="D73" s="26">
        <v>1</v>
      </c>
      <c r="E73" s="9" t="str">
        <f t="shared" si="6"/>
        <v>CCDC</v>
      </c>
      <c r="F73" s="27">
        <v>200000</v>
      </c>
      <c r="G73" s="6"/>
      <c r="H73" s="6"/>
      <c r="I73" s="7">
        <f t="shared" si="7"/>
        <v>0</v>
      </c>
      <c r="J73" s="8">
        <f t="shared" si="8"/>
        <v>0</v>
      </c>
    </row>
    <row r="74" spans="1:10">
      <c r="A74" s="3">
        <v>65</v>
      </c>
      <c r="B74" s="14" t="s">
        <v>264</v>
      </c>
      <c r="C74" s="14"/>
      <c r="D74" s="26">
        <v>2</v>
      </c>
      <c r="E74" s="9" t="str">
        <f t="shared" si="6"/>
        <v>CCDC</v>
      </c>
      <c r="F74" s="27"/>
      <c r="G74" s="6"/>
      <c r="H74" s="6"/>
      <c r="I74" s="7">
        <f t="shared" si="7"/>
        <v>0</v>
      </c>
      <c r="J74" s="8">
        <f t="shared" si="8"/>
        <v>0</v>
      </c>
    </row>
    <row r="75" spans="1:10">
      <c r="A75" s="3">
        <v>66</v>
      </c>
      <c r="B75" s="14" t="s">
        <v>265</v>
      </c>
      <c r="C75" s="14"/>
      <c r="D75" s="26">
        <v>1</v>
      </c>
      <c r="E75" s="9" t="str">
        <f t="shared" si="6"/>
        <v>CCDC</v>
      </c>
      <c r="F75" s="27"/>
      <c r="G75" s="6"/>
      <c r="H75" s="6"/>
      <c r="I75" s="7">
        <f t="shared" si="7"/>
        <v>0</v>
      </c>
      <c r="J75" s="8">
        <f t="shared" si="8"/>
        <v>0</v>
      </c>
    </row>
    <row r="76" spans="1:10">
      <c r="A76" s="3">
        <v>67</v>
      </c>
      <c r="B76" s="14" t="s">
        <v>266</v>
      </c>
      <c r="C76" s="14"/>
      <c r="D76" s="26">
        <v>2</v>
      </c>
      <c r="E76" s="9" t="str">
        <f t="shared" si="6"/>
        <v>CCDC</v>
      </c>
      <c r="F76" s="27"/>
      <c r="G76" s="6"/>
      <c r="H76" s="6"/>
      <c r="I76" s="7">
        <f t="shared" si="7"/>
        <v>0</v>
      </c>
      <c r="J76" s="8">
        <f t="shared" si="8"/>
        <v>0</v>
      </c>
    </row>
    <row r="77" spans="1:10">
      <c r="A77" s="3">
        <v>68</v>
      </c>
      <c r="B77" s="14" t="s">
        <v>267</v>
      </c>
      <c r="C77" s="14"/>
      <c r="D77" s="26">
        <v>1</v>
      </c>
      <c r="E77" s="9" t="str">
        <f t="shared" si="6"/>
        <v>CCDC</v>
      </c>
      <c r="F77" s="27"/>
      <c r="G77" s="6"/>
      <c r="H77" s="6"/>
      <c r="I77" s="7">
        <f t="shared" si="7"/>
        <v>0</v>
      </c>
      <c r="J77" s="8">
        <f t="shared" si="8"/>
        <v>0</v>
      </c>
    </row>
    <row r="78" spans="1:10">
      <c r="A78" s="3">
        <v>69</v>
      </c>
      <c r="B78" s="14" t="s">
        <v>268</v>
      </c>
      <c r="C78" s="14"/>
      <c r="D78" s="26">
        <v>2</v>
      </c>
      <c r="E78" s="9" t="str">
        <f t="shared" si="6"/>
        <v>CCDC</v>
      </c>
      <c r="F78" s="27"/>
      <c r="G78" s="6"/>
      <c r="H78" s="6"/>
      <c r="I78" s="7">
        <f t="shared" si="7"/>
        <v>0</v>
      </c>
      <c r="J78" s="8">
        <f t="shared" si="8"/>
        <v>0</v>
      </c>
    </row>
    <row r="79" spans="1:10">
      <c r="A79" s="3">
        <v>70</v>
      </c>
      <c r="B79" s="14" t="s">
        <v>269</v>
      </c>
      <c r="C79" s="14"/>
      <c r="D79" s="26">
        <v>1</v>
      </c>
      <c r="E79" s="9" t="str">
        <f t="shared" si="6"/>
        <v>CCDC</v>
      </c>
      <c r="F79" s="27"/>
      <c r="G79" s="6"/>
      <c r="H79" s="6"/>
      <c r="I79" s="7">
        <f t="shared" si="7"/>
        <v>0</v>
      </c>
      <c r="J79" s="8">
        <f t="shared" si="8"/>
        <v>0</v>
      </c>
    </row>
    <row r="80" spans="1:10">
      <c r="A80" s="3">
        <v>71</v>
      </c>
      <c r="B80" s="14" t="s">
        <v>270</v>
      </c>
      <c r="C80" s="14"/>
      <c r="D80" s="26">
        <v>2</v>
      </c>
      <c r="E80" s="9" t="str">
        <f t="shared" si="6"/>
        <v>CCDC</v>
      </c>
      <c r="F80" s="27"/>
      <c r="G80" s="6"/>
      <c r="H80" s="6"/>
      <c r="I80" s="7">
        <f t="shared" si="7"/>
        <v>0</v>
      </c>
      <c r="J80" s="8">
        <f t="shared" si="8"/>
        <v>0</v>
      </c>
    </row>
    <row r="81" spans="1:10">
      <c r="A81" s="3">
        <v>72</v>
      </c>
      <c r="B81" s="14" t="s">
        <v>271</v>
      </c>
      <c r="C81" s="14"/>
      <c r="D81" s="26">
        <v>1</v>
      </c>
      <c r="E81" s="9" t="str">
        <f t="shared" si="6"/>
        <v>CCDC</v>
      </c>
      <c r="F81" s="27"/>
      <c r="G81" s="6"/>
      <c r="H81" s="6"/>
      <c r="I81" s="7">
        <f t="shared" si="7"/>
        <v>0</v>
      </c>
      <c r="J81" s="8">
        <f t="shared" si="8"/>
        <v>0</v>
      </c>
    </row>
    <row r="82" spans="1:10">
      <c r="A82" s="3">
        <v>73</v>
      </c>
      <c r="B82" s="14" t="s">
        <v>272</v>
      </c>
      <c r="C82" s="14"/>
      <c r="D82" s="26">
        <v>1</v>
      </c>
      <c r="E82" s="9" t="str">
        <f t="shared" si="6"/>
        <v>CCDC</v>
      </c>
      <c r="F82" s="27"/>
      <c r="G82" s="6"/>
      <c r="H82" s="6"/>
      <c r="I82" s="7">
        <f t="shared" si="7"/>
        <v>0</v>
      </c>
      <c r="J82" s="8">
        <f t="shared" si="8"/>
        <v>0</v>
      </c>
    </row>
    <row r="83" spans="1:10">
      <c r="A83" s="3">
        <v>74</v>
      </c>
      <c r="B83" s="14" t="s">
        <v>273</v>
      </c>
      <c r="C83" s="14"/>
      <c r="D83" s="26">
        <v>1</v>
      </c>
      <c r="E83" s="9" t="str">
        <f t="shared" si="6"/>
        <v>CCDC</v>
      </c>
      <c r="F83" s="27"/>
      <c r="G83" s="6"/>
      <c r="H83" s="6"/>
      <c r="I83" s="7">
        <f t="shared" si="7"/>
        <v>0</v>
      </c>
      <c r="J83" s="8">
        <f t="shared" si="8"/>
        <v>0</v>
      </c>
    </row>
    <row r="84" spans="1:10">
      <c r="A84" s="3">
        <v>75</v>
      </c>
      <c r="B84" s="14" t="s">
        <v>274</v>
      </c>
      <c r="C84" s="14"/>
      <c r="D84" s="26">
        <v>1</v>
      </c>
      <c r="E84" s="9" t="str">
        <f t="shared" si="6"/>
        <v>CCDC</v>
      </c>
      <c r="F84" s="27"/>
      <c r="G84" s="6"/>
      <c r="H84" s="6"/>
      <c r="I84" s="7">
        <f t="shared" si="7"/>
        <v>0</v>
      </c>
      <c r="J84" s="8">
        <f t="shared" si="8"/>
        <v>0</v>
      </c>
    </row>
    <row r="85" spans="1:10">
      <c r="A85" s="3">
        <v>76</v>
      </c>
      <c r="B85" s="14" t="s">
        <v>275</v>
      </c>
      <c r="C85" s="14"/>
      <c r="D85" s="26">
        <v>1</v>
      </c>
      <c r="E85" s="9" t="str">
        <f t="shared" si="6"/>
        <v>CCDC</v>
      </c>
      <c r="F85" s="27"/>
      <c r="G85" s="6"/>
      <c r="H85" s="6"/>
      <c r="I85" s="7">
        <f t="shared" si="7"/>
        <v>0</v>
      </c>
      <c r="J85" s="8">
        <f t="shared" si="8"/>
        <v>0</v>
      </c>
    </row>
    <row r="86" spans="1:10">
      <c r="A86" s="3">
        <v>77</v>
      </c>
      <c r="B86" s="14" t="s">
        <v>276</v>
      </c>
      <c r="C86" s="14"/>
      <c r="D86" s="26">
        <v>1</v>
      </c>
      <c r="E86" s="9" t="str">
        <f t="shared" si="6"/>
        <v>CCDC</v>
      </c>
      <c r="F86" s="27"/>
      <c r="G86" s="6"/>
      <c r="H86" s="6"/>
      <c r="I86" s="7">
        <f t="shared" si="7"/>
        <v>0</v>
      </c>
      <c r="J86" s="8">
        <f t="shared" si="8"/>
        <v>0</v>
      </c>
    </row>
    <row r="87" spans="1:10">
      <c r="A87" s="3">
        <v>78</v>
      </c>
      <c r="B87" s="14" t="s">
        <v>277</v>
      </c>
      <c r="C87" s="14"/>
      <c r="D87" s="26">
        <v>1</v>
      </c>
      <c r="E87" s="9" t="str">
        <f t="shared" si="6"/>
        <v>CCDC</v>
      </c>
      <c r="F87" s="27"/>
      <c r="G87" s="6"/>
      <c r="H87" s="6"/>
      <c r="I87" s="7">
        <f t="shared" si="7"/>
        <v>0</v>
      </c>
      <c r="J87" s="8">
        <f t="shared" si="8"/>
        <v>0</v>
      </c>
    </row>
    <row r="88" spans="1:10">
      <c r="A88" s="3">
        <v>79</v>
      </c>
      <c r="B88" s="14" t="s">
        <v>278</v>
      </c>
      <c r="C88" s="14"/>
      <c r="D88" s="26">
        <v>1</v>
      </c>
      <c r="E88" s="9" t="str">
        <f t="shared" si="6"/>
        <v>CCDC</v>
      </c>
      <c r="F88" s="27"/>
      <c r="G88" s="6"/>
      <c r="H88" s="6"/>
      <c r="I88" s="7">
        <f t="shared" si="7"/>
        <v>0</v>
      </c>
      <c r="J88" s="8">
        <f t="shared" si="8"/>
        <v>0</v>
      </c>
    </row>
    <row r="89" spans="1:10">
      <c r="A89" s="3">
        <v>80</v>
      </c>
      <c r="B89" s="14" t="s">
        <v>279</v>
      </c>
      <c r="C89" s="14"/>
      <c r="D89" s="26">
        <v>9</v>
      </c>
      <c r="E89" s="9" t="str">
        <f t="shared" si="6"/>
        <v>CCDC</v>
      </c>
      <c r="F89" s="27">
        <v>70000</v>
      </c>
      <c r="G89" s="6"/>
      <c r="H89" s="6"/>
      <c r="I89" s="7">
        <f t="shared" si="7"/>
        <v>0</v>
      </c>
      <c r="J89" s="8">
        <f t="shared" si="8"/>
        <v>0</v>
      </c>
    </row>
    <row r="90" spans="1:10">
      <c r="A90" s="3">
        <v>81</v>
      </c>
      <c r="B90" s="14" t="s">
        <v>280</v>
      </c>
      <c r="C90" s="14"/>
      <c r="D90" s="26">
        <v>1</v>
      </c>
      <c r="E90" s="9" t="str">
        <f t="shared" si="6"/>
        <v>CCDC</v>
      </c>
      <c r="F90" s="27"/>
      <c r="G90" s="6"/>
      <c r="H90" s="6"/>
      <c r="I90" s="7">
        <f t="shared" si="7"/>
        <v>0</v>
      </c>
      <c r="J90" s="8">
        <f t="shared" si="8"/>
        <v>0</v>
      </c>
    </row>
    <row r="91" spans="1:10">
      <c r="A91" s="3">
        <v>82</v>
      </c>
      <c r="B91" s="14" t="s">
        <v>281</v>
      </c>
      <c r="C91" s="14"/>
      <c r="D91" s="26">
        <v>3</v>
      </c>
      <c r="E91" s="9" t="str">
        <f t="shared" si="6"/>
        <v>CCDC</v>
      </c>
      <c r="F91" s="27">
        <v>50000</v>
      </c>
      <c r="G91" s="6"/>
      <c r="H91" s="6"/>
      <c r="I91" s="7">
        <f t="shared" si="7"/>
        <v>0</v>
      </c>
      <c r="J91" s="8">
        <f t="shared" si="8"/>
        <v>0</v>
      </c>
    </row>
    <row r="92" spans="1:10">
      <c r="A92" s="3">
        <v>83</v>
      </c>
      <c r="B92" s="14" t="s">
        <v>282</v>
      </c>
      <c r="C92" s="14"/>
      <c r="D92" s="26">
        <v>1</v>
      </c>
      <c r="E92" s="9" t="str">
        <f t="shared" si="6"/>
        <v>CCDC</v>
      </c>
      <c r="F92" s="27">
        <v>150000</v>
      </c>
      <c r="G92" s="6"/>
      <c r="H92" s="6"/>
      <c r="I92" s="7">
        <f t="shared" si="7"/>
        <v>0</v>
      </c>
      <c r="J92" s="8">
        <f t="shared" si="8"/>
        <v>0</v>
      </c>
    </row>
    <row r="93" spans="1:10">
      <c r="A93" s="3">
        <v>84</v>
      </c>
      <c r="B93" s="14" t="s">
        <v>283</v>
      </c>
      <c r="C93" s="14"/>
      <c r="D93" s="26">
        <v>1</v>
      </c>
      <c r="E93" s="9" t="str">
        <f t="shared" ref="E93:E108" si="9">IF(F93&gt;=30000000,"TSCĐ","CCDC")</f>
        <v>CCDC</v>
      </c>
      <c r="F93" s="27">
        <v>3000000</v>
      </c>
      <c r="G93" s="6"/>
      <c r="H93" s="6"/>
      <c r="I93" s="7">
        <f t="shared" ref="I93:I108" si="10">IF(H93&lt;=G93,0,(H93-G93)/H93)</f>
        <v>0</v>
      </c>
      <c r="J93" s="8">
        <f t="shared" ref="J93:J108" si="11">D93*F93*I93</f>
        <v>0</v>
      </c>
    </row>
    <row r="94" spans="1:10">
      <c r="A94" s="3">
        <v>85</v>
      </c>
      <c r="B94" s="14" t="s">
        <v>284</v>
      </c>
      <c r="C94" s="14"/>
      <c r="D94" s="26">
        <v>2</v>
      </c>
      <c r="E94" s="9" t="str">
        <f t="shared" si="9"/>
        <v>CCDC</v>
      </c>
      <c r="F94" s="27">
        <v>30000</v>
      </c>
      <c r="G94" s="6"/>
      <c r="H94" s="6"/>
      <c r="I94" s="7">
        <f t="shared" si="10"/>
        <v>0</v>
      </c>
      <c r="J94" s="8">
        <f t="shared" si="11"/>
        <v>0</v>
      </c>
    </row>
    <row r="95" spans="1:10">
      <c r="A95" s="3">
        <v>86</v>
      </c>
      <c r="B95" s="14" t="s">
        <v>285</v>
      </c>
      <c r="C95" s="14"/>
      <c r="D95" s="26">
        <v>1</v>
      </c>
      <c r="E95" s="9" t="str">
        <f t="shared" si="9"/>
        <v>CCDC</v>
      </c>
      <c r="F95" s="27">
        <v>70000</v>
      </c>
      <c r="G95" s="6"/>
      <c r="H95" s="6"/>
      <c r="I95" s="7">
        <f t="shared" si="10"/>
        <v>0</v>
      </c>
      <c r="J95" s="8">
        <f t="shared" si="11"/>
        <v>0</v>
      </c>
    </row>
    <row r="96" spans="1:10">
      <c r="A96" s="3">
        <v>87</v>
      </c>
      <c r="B96" s="14" t="s">
        <v>286</v>
      </c>
      <c r="C96" s="14"/>
      <c r="D96" s="26">
        <v>1</v>
      </c>
      <c r="E96" s="9" t="str">
        <f t="shared" si="9"/>
        <v>CCDC</v>
      </c>
      <c r="F96" s="27">
        <v>100000</v>
      </c>
      <c r="G96" s="6"/>
      <c r="H96" s="6"/>
      <c r="I96" s="7">
        <f t="shared" si="10"/>
        <v>0</v>
      </c>
      <c r="J96" s="8">
        <f t="shared" si="11"/>
        <v>0</v>
      </c>
    </row>
    <row r="97" spans="1:10">
      <c r="A97" s="3">
        <v>88</v>
      </c>
      <c r="B97" s="14" t="s">
        <v>287</v>
      </c>
      <c r="C97" s="14"/>
      <c r="D97" s="26">
        <v>1</v>
      </c>
      <c r="E97" s="9" t="str">
        <f t="shared" si="9"/>
        <v>CCDC</v>
      </c>
      <c r="F97" s="27">
        <v>50000</v>
      </c>
      <c r="G97" s="6"/>
      <c r="H97" s="6"/>
      <c r="I97" s="7">
        <f t="shared" si="10"/>
        <v>0</v>
      </c>
      <c r="J97" s="8">
        <f t="shared" si="11"/>
        <v>0</v>
      </c>
    </row>
    <row r="98" spans="1:10">
      <c r="A98" s="3">
        <v>89</v>
      </c>
      <c r="B98" s="14" t="s">
        <v>288</v>
      </c>
      <c r="C98" s="14"/>
      <c r="D98" s="26">
        <v>1</v>
      </c>
      <c r="E98" s="9" t="str">
        <f t="shared" si="9"/>
        <v>CCDC</v>
      </c>
      <c r="F98" s="27"/>
      <c r="G98" s="6"/>
      <c r="H98" s="6"/>
      <c r="I98" s="7">
        <f t="shared" si="10"/>
        <v>0</v>
      </c>
      <c r="J98" s="8">
        <f t="shared" si="11"/>
        <v>0</v>
      </c>
    </row>
    <row r="99" spans="1:10">
      <c r="A99" s="3">
        <v>90</v>
      </c>
      <c r="B99" s="14" t="s">
        <v>289</v>
      </c>
      <c r="C99" s="14"/>
      <c r="D99" s="26">
        <v>22</v>
      </c>
      <c r="E99" s="9" t="str">
        <f t="shared" si="9"/>
        <v>CCDC</v>
      </c>
      <c r="F99" s="27">
        <v>350000</v>
      </c>
      <c r="G99" s="6"/>
      <c r="H99" s="6"/>
      <c r="I99" s="7">
        <f t="shared" si="10"/>
        <v>0</v>
      </c>
      <c r="J99" s="8">
        <f t="shared" si="11"/>
        <v>0</v>
      </c>
    </row>
    <row r="100" spans="1:10">
      <c r="A100" s="3">
        <v>91</v>
      </c>
      <c r="B100" s="14" t="s">
        <v>136</v>
      </c>
      <c r="C100" s="14" t="s">
        <v>290</v>
      </c>
      <c r="D100" s="26">
        <v>1</v>
      </c>
      <c r="E100" s="9" t="str">
        <f t="shared" si="9"/>
        <v>CCDC</v>
      </c>
      <c r="F100" s="27">
        <v>300000</v>
      </c>
      <c r="G100" s="6"/>
      <c r="H100" s="6"/>
      <c r="I100" s="7">
        <f t="shared" si="10"/>
        <v>0</v>
      </c>
      <c r="J100" s="8">
        <f t="shared" si="11"/>
        <v>0</v>
      </c>
    </row>
    <row r="101" spans="1:10">
      <c r="A101" s="3">
        <v>92</v>
      </c>
      <c r="B101" s="14" t="s">
        <v>291</v>
      </c>
      <c r="C101" s="14"/>
      <c r="D101" s="26">
        <v>1</v>
      </c>
      <c r="E101" s="9" t="str">
        <f t="shared" si="9"/>
        <v>CCDC</v>
      </c>
      <c r="F101" s="27">
        <v>200000</v>
      </c>
      <c r="G101" s="6"/>
      <c r="H101" s="6"/>
      <c r="I101" s="7">
        <f t="shared" si="10"/>
        <v>0</v>
      </c>
      <c r="J101" s="8">
        <f t="shared" si="11"/>
        <v>0</v>
      </c>
    </row>
    <row r="102" spans="1:10">
      <c r="A102" s="3">
        <v>93</v>
      </c>
      <c r="B102" s="14" t="s">
        <v>292</v>
      </c>
      <c r="C102" s="14"/>
      <c r="D102" s="26">
        <v>5</v>
      </c>
      <c r="E102" s="9" t="str">
        <f t="shared" si="9"/>
        <v>CCDC</v>
      </c>
      <c r="F102" s="27">
        <v>450000</v>
      </c>
      <c r="G102" s="6"/>
      <c r="H102" s="6"/>
      <c r="I102" s="7">
        <f t="shared" si="10"/>
        <v>0</v>
      </c>
      <c r="J102" s="8">
        <f t="shared" si="11"/>
        <v>0</v>
      </c>
    </row>
    <row r="103" spans="1:10">
      <c r="A103" s="3">
        <v>94</v>
      </c>
      <c r="B103" s="14" t="s">
        <v>293</v>
      </c>
      <c r="C103" s="14" t="s">
        <v>294</v>
      </c>
      <c r="D103" s="3">
        <v>1</v>
      </c>
      <c r="E103" s="9" t="str">
        <f t="shared" si="9"/>
        <v>CCDC</v>
      </c>
      <c r="F103" s="5"/>
      <c r="G103" s="6"/>
      <c r="H103" s="6"/>
      <c r="I103" s="7">
        <f t="shared" si="10"/>
        <v>0</v>
      </c>
      <c r="J103" s="8">
        <f t="shared" si="11"/>
        <v>0</v>
      </c>
    </row>
    <row r="104" spans="1:10">
      <c r="A104" s="3">
        <v>95</v>
      </c>
      <c r="B104" s="14"/>
      <c r="C104" s="14"/>
      <c r="D104" s="3"/>
      <c r="E104" s="9" t="str">
        <f t="shared" si="9"/>
        <v>CCDC</v>
      </c>
      <c r="F104" s="5"/>
      <c r="G104" s="6"/>
      <c r="H104" s="6"/>
      <c r="I104" s="7">
        <f t="shared" si="10"/>
        <v>0</v>
      </c>
      <c r="J104" s="8">
        <f t="shared" si="11"/>
        <v>0</v>
      </c>
    </row>
    <row r="105" spans="1:10">
      <c r="A105" s="3">
        <v>96</v>
      </c>
      <c r="B105" s="14"/>
      <c r="C105" s="14"/>
      <c r="D105" s="3"/>
      <c r="E105" s="9" t="str">
        <f t="shared" si="9"/>
        <v>CCDC</v>
      </c>
      <c r="F105" s="5"/>
      <c r="G105" s="6"/>
      <c r="H105" s="6"/>
      <c r="I105" s="7">
        <f t="shared" si="10"/>
        <v>0</v>
      </c>
      <c r="J105" s="8">
        <f t="shared" si="11"/>
        <v>0</v>
      </c>
    </row>
    <row r="106" spans="1:10">
      <c r="A106" s="3">
        <v>97</v>
      </c>
      <c r="B106" s="14"/>
      <c r="C106" s="14"/>
      <c r="D106" s="3"/>
      <c r="E106" s="9" t="str">
        <f t="shared" si="9"/>
        <v>CCDC</v>
      </c>
      <c r="F106" s="5"/>
      <c r="G106" s="6"/>
      <c r="H106" s="6"/>
      <c r="I106" s="7">
        <f t="shared" si="10"/>
        <v>0</v>
      </c>
      <c r="J106" s="8">
        <f t="shared" si="11"/>
        <v>0</v>
      </c>
    </row>
    <row r="107" spans="1:10">
      <c r="A107" s="3">
        <v>98</v>
      </c>
      <c r="B107" s="14"/>
      <c r="C107" s="14"/>
      <c r="D107" s="3"/>
      <c r="E107" s="9" t="str">
        <f t="shared" si="9"/>
        <v>CCDC</v>
      </c>
      <c r="F107" s="5"/>
      <c r="G107" s="6"/>
      <c r="H107" s="6"/>
      <c r="I107" s="7">
        <f t="shared" si="10"/>
        <v>0</v>
      </c>
      <c r="J107" s="8">
        <f t="shared" si="11"/>
        <v>0</v>
      </c>
    </row>
    <row r="108" spans="1:10">
      <c r="A108" s="3">
        <v>99</v>
      </c>
      <c r="B108" s="14"/>
      <c r="C108" s="14"/>
      <c r="D108" s="3"/>
      <c r="E108" s="9" t="str">
        <f t="shared" si="9"/>
        <v>CCDC</v>
      </c>
      <c r="F108" s="5"/>
      <c r="G108" s="6"/>
      <c r="H108" s="6"/>
      <c r="I108" s="7">
        <f t="shared" si="10"/>
        <v>0</v>
      </c>
      <c r="J108" s="8">
        <f t="shared" si="11"/>
        <v>0</v>
      </c>
    </row>
    <row r="109" spans="1:10">
      <c r="A109" s="31" t="s">
        <v>144</v>
      </c>
      <c r="B109" s="31"/>
      <c r="C109" s="31"/>
      <c r="D109" s="31"/>
      <c r="E109" s="31"/>
      <c r="F109" s="31"/>
      <c r="G109" s="31"/>
      <c r="H109" s="31"/>
      <c r="I109" s="31"/>
      <c r="J109" s="10">
        <f>SUM(J3:J108)</f>
        <v>1205600000</v>
      </c>
    </row>
    <row r="110" spans="1:10">
      <c r="A110" s="32" t="s">
        <v>96</v>
      </c>
      <c r="B110" s="32"/>
      <c r="C110" s="32"/>
      <c r="D110" s="32"/>
      <c r="E110" s="32"/>
      <c r="F110" s="32"/>
      <c r="G110" s="32"/>
      <c r="H110" s="32"/>
      <c r="I110" s="32"/>
      <c r="J110" s="1">
        <f>SUMIFS(J3:J108,E3:E108,"TSCĐ")</f>
        <v>1205600000</v>
      </c>
    </row>
    <row r="111" spans="1:10">
      <c r="A111" s="32" t="s">
        <v>97</v>
      </c>
      <c r="B111" s="32"/>
      <c r="C111" s="32"/>
      <c r="D111" s="32"/>
      <c r="E111" s="32"/>
      <c r="F111" s="32"/>
      <c r="G111" s="32"/>
      <c r="H111" s="32"/>
      <c r="I111" s="32"/>
      <c r="J111" s="1">
        <f>SUMIFS(J3:J108,E3:E108,"CCDC")</f>
        <v>0</v>
      </c>
    </row>
  </sheetData>
  <mergeCells count="8">
    <mergeCell ref="A110:I110"/>
    <mergeCell ref="A111:I111"/>
    <mergeCell ref="A1:J1"/>
    <mergeCell ref="A3:J3"/>
    <mergeCell ref="A5:J5"/>
    <mergeCell ref="A10:J10"/>
    <mergeCell ref="A28:J28"/>
    <mergeCell ref="A109:I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DD4E-AFF5-49F7-AF3A-F96E48DECDEE}">
  <dimension ref="A1:J64"/>
  <sheetViews>
    <sheetView tabSelected="1" workbookViewId="0">
      <selection activeCell="Q52" sqref="Q52"/>
    </sheetView>
  </sheetViews>
  <sheetFormatPr defaultColWidth="8.7109375" defaultRowHeight="15"/>
  <cols>
    <col min="1" max="1" width="8.140625" style="35" customWidth="1"/>
    <col min="2" max="2" width="35.5703125" style="70" customWidth="1"/>
    <col min="3" max="3" width="27.42578125" style="71" customWidth="1"/>
    <col min="4" max="4" width="8.140625" style="35" customWidth="1"/>
    <col min="5" max="5" width="14.42578125" style="35" customWidth="1"/>
    <col min="6" max="6" width="10.42578125" style="35" customWidth="1"/>
    <col min="7" max="7" width="14.42578125" style="72" customWidth="1"/>
    <col min="8" max="8" width="13.140625" style="35" customWidth="1"/>
    <col min="9" max="9" width="12" style="35" customWidth="1"/>
    <col min="10" max="10" width="18.42578125" style="35" customWidth="1"/>
    <col min="11" max="16384" width="8.7109375" style="35"/>
  </cols>
  <sheetData>
    <row r="1" spans="1:10" ht="30" customHeight="1">
      <c r="A1" s="34" t="s">
        <v>300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51">
      <c r="A2" s="36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</row>
    <row r="3" spans="1:10" s="46" customFormat="1" ht="25.5">
      <c r="A3" s="37">
        <v>1</v>
      </c>
      <c r="B3" s="38" t="s">
        <v>301</v>
      </c>
      <c r="C3" s="39" t="s">
        <v>14</v>
      </c>
      <c r="D3" s="37">
        <v>1</v>
      </c>
      <c r="E3" s="40" t="s">
        <v>302</v>
      </c>
      <c r="F3" s="41">
        <v>280000000</v>
      </c>
      <c r="G3" s="42" t="s">
        <v>303</v>
      </c>
      <c r="H3" s="43"/>
      <c r="I3" s="44">
        <f t="shared" ref="I3:I12" si="0">IF(H3&lt;=G3,0,(H3-G3)/H3)</f>
        <v>0</v>
      </c>
      <c r="J3" s="45">
        <f>D3*F3*I3</f>
        <v>0</v>
      </c>
    </row>
    <row r="4" spans="1:10">
      <c r="A4" s="37">
        <v>2</v>
      </c>
      <c r="B4" s="38" t="s">
        <v>304</v>
      </c>
      <c r="C4" s="47" t="s">
        <v>305</v>
      </c>
      <c r="D4" s="37">
        <v>1</v>
      </c>
      <c r="E4" s="40" t="s">
        <v>302</v>
      </c>
      <c r="F4" s="48"/>
      <c r="G4" s="47">
        <v>4</v>
      </c>
      <c r="H4" s="48"/>
      <c r="I4" s="49">
        <f t="shared" si="0"/>
        <v>0</v>
      </c>
      <c r="J4" s="48"/>
    </row>
    <row r="5" spans="1:10">
      <c r="A5" s="37">
        <v>3</v>
      </c>
      <c r="B5" s="38" t="s">
        <v>306</v>
      </c>
      <c r="C5" s="47" t="s">
        <v>307</v>
      </c>
      <c r="D5" s="37">
        <v>1</v>
      </c>
      <c r="E5" s="40" t="s">
        <v>302</v>
      </c>
      <c r="F5" s="48"/>
      <c r="G5" s="47">
        <v>2</v>
      </c>
      <c r="H5" s="48"/>
      <c r="I5" s="49">
        <f t="shared" si="0"/>
        <v>0</v>
      </c>
      <c r="J5" s="48"/>
    </row>
    <row r="6" spans="1:10">
      <c r="A6" s="37">
        <v>4</v>
      </c>
      <c r="B6" s="38" t="s">
        <v>308</v>
      </c>
      <c r="C6" s="50" t="s">
        <v>309</v>
      </c>
      <c r="D6" s="37">
        <v>1</v>
      </c>
      <c r="E6" s="40" t="s">
        <v>302</v>
      </c>
      <c r="F6" s="51"/>
      <c r="G6" s="52">
        <v>1</v>
      </c>
      <c r="H6" s="51"/>
      <c r="I6" s="49">
        <f t="shared" si="0"/>
        <v>0</v>
      </c>
      <c r="J6" s="51"/>
    </row>
    <row r="7" spans="1:10">
      <c r="A7" s="37">
        <v>5</v>
      </c>
      <c r="B7" s="53" t="s">
        <v>310</v>
      </c>
      <c r="C7" s="50"/>
      <c r="D7" s="37">
        <v>1</v>
      </c>
      <c r="E7" s="54" t="str">
        <f>IF(F7&gt;=30000000,"TSCĐ","CCDC")</f>
        <v>CCDC</v>
      </c>
      <c r="F7" s="55"/>
      <c r="G7" s="43">
        <v>4</v>
      </c>
      <c r="H7" s="43"/>
      <c r="I7" s="49">
        <f t="shared" si="0"/>
        <v>0</v>
      </c>
      <c r="J7" s="56">
        <f t="shared" ref="J7:J12" si="1">D7*F7*I7</f>
        <v>0</v>
      </c>
    </row>
    <row r="8" spans="1:10">
      <c r="A8" s="37">
        <v>6</v>
      </c>
      <c r="B8" s="53" t="s">
        <v>311</v>
      </c>
      <c r="C8" s="50"/>
      <c r="D8" s="37">
        <v>1</v>
      </c>
      <c r="E8" s="54" t="str">
        <f>IF(F8&gt;=30000000,"TSCĐ","CCDC")</f>
        <v>CCDC</v>
      </c>
      <c r="F8" s="55">
        <v>1500000</v>
      </c>
      <c r="G8" s="43">
        <v>4</v>
      </c>
      <c r="H8" s="43"/>
      <c r="I8" s="49">
        <f t="shared" si="0"/>
        <v>0</v>
      </c>
      <c r="J8" s="56">
        <f t="shared" si="1"/>
        <v>0</v>
      </c>
    </row>
    <row r="9" spans="1:10">
      <c r="A9" s="37">
        <v>7</v>
      </c>
      <c r="B9" s="53" t="s">
        <v>312</v>
      </c>
      <c r="C9" s="50"/>
      <c r="D9" s="37">
        <v>1</v>
      </c>
      <c r="E9" s="54" t="str">
        <f>IF(F9&gt;=30000000,"TSCĐ","CCDC")</f>
        <v>CCDC</v>
      </c>
      <c r="F9" s="55"/>
      <c r="G9" s="43">
        <v>4</v>
      </c>
      <c r="H9" s="43"/>
      <c r="I9" s="49">
        <f t="shared" si="0"/>
        <v>0</v>
      </c>
      <c r="J9" s="56">
        <f t="shared" si="1"/>
        <v>0</v>
      </c>
    </row>
    <row r="10" spans="1:10">
      <c r="A10" s="37">
        <v>8</v>
      </c>
      <c r="B10" s="53" t="s">
        <v>313</v>
      </c>
      <c r="C10" s="50"/>
      <c r="D10" s="37">
        <v>1</v>
      </c>
      <c r="E10" s="54" t="str">
        <f t="shared" ref="E10:E40" si="2">IF(F10&gt;=30000000,"TSCĐ","CCDC")</f>
        <v>CCDC</v>
      </c>
      <c r="F10" s="55"/>
      <c r="G10" s="43">
        <v>2</v>
      </c>
      <c r="H10" s="43"/>
      <c r="I10" s="49">
        <f t="shared" si="0"/>
        <v>0</v>
      </c>
      <c r="J10" s="56">
        <f t="shared" si="1"/>
        <v>0</v>
      </c>
    </row>
    <row r="11" spans="1:10">
      <c r="A11" s="37">
        <v>9</v>
      </c>
      <c r="B11" s="57" t="s">
        <v>314</v>
      </c>
      <c r="C11" s="50" t="s">
        <v>315</v>
      </c>
      <c r="D11" s="37">
        <v>1</v>
      </c>
      <c r="E11" s="54" t="str">
        <f t="shared" si="2"/>
        <v>CCDC</v>
      </c>
      <c r="F11" s="55">
        <v>2590000</v>
      </c>
      <c r="G11" s="43">
        <v>1</v>
      </c>
      <c r="H11" s="43"/>
      <c r="I11" s="49">
        <f t="shared" si="0"/>
        <v>0</v>
      </c>
      <c r="J11" s="56">
        <f t="shared" si="1"/>
        <v>0</v>
      </c>
    </row>
    <row r="12" spans="1:10">
      <c r="A12" s="37">
        <v>10</v>
      </c>
      <c r="B12" s="57" t="s">
        <v>314</v>
      </c>
      <c r="C12" s="50" t="s">
        <v>316</v>
      </c>
      <c r="D12" s="37">
        <v>1</v>
      </c>
      <c r="E12" s="54" t="str">
        <f t="shared" si="2"/>
        <v>CCDC</v>
      </c>
      <c r="F12" s="55"/>
      <c r="G12" s="43"/>
      <c r="H12" s="43"/>
      <c r="I12" s="49">
        <f t="shared" si="0"/>
        <v>0</v>
      </c>
      <c r="J12" s="56">
        <f t="shared" si="1"/>
        <v>0</v>
      </c>
    </row>
    <row r="13" spans="1:10">
      <c r="A13" s="37">
        <v>11</v>
      </c>
      <c r="B13" s="58" t="s">
        <v>317</v>
      </c>
      <c r="C13" s="50" t="s">
        <v>318</v>
      </c>
      <c r="D13" s="37">
        <v>1</v>
      </c>
      <c r="E13" s="54" t="str">
        <f t="shared" si="2"/>
        <v>CCDC</v>
      </c>
      <c r="F13" s="59"/>
      <c r="G13" s="43">
        <v>4</v>
      </c>
      <c r="H13" s="43"/>
      <c r="I13" s="49"/>
      <c r="J13" s="56"/>
    </row>
    <row r="14" spans="1:10">
      <c r="A14" s="37">
        <v>12</v>
      </c>
      <c r="B14" s="58" t="s">
        <v>319</v>
      </c>
      <c r="C14" s="50" t="s">
        <v>320</v>
      </c>
      <c r="D14" s="37">
        <v>1</v>
      </c>
      <c r="E14" s="54" t="str">
        <f t="shared" si="2"/>
        <v>CCDC</v>
      </c>
      <c r="F14" s="55"/>
      <c r="G14" s="43"/>
      <c r="H14" s="43"/>
      <c r="I14" s="49">
        <f t="shared" ref="I14:I40" si="3">IF(H14&lt;=G14,0,(H14-G14)/H14)</f>
        <v>0</v>
      </c>
      <c r="J14" s="56">
        <f t="shared" ref="J14:J15" si="4">D14*F14*I14</f>
        <v>0</v>
      </c>
    </row>
    <row r="15" spans="1:10" ht="30">
      <c r="A15" s="37">
        <v>13</v>
      </c>
      <c r="B15" s="57" t="s">
        <v>321</v>
      </c>
      <c r="C15" s="50" t="s">
        <v>322</v>
      </c>
      <c r="D15" s="37">
        <v>1</v>
      </c>
      <c r="E15" s="54" t="str">
        <f t="shared" si="2"/>
        <v>CCDC</v>
      </c>
      <c r="F15" s="55"/>
      <c r="G15" s="43"/>
      <c r="H15" s="43"/>
      <c r="I15" s="49">
        <f t="shared" si="3"/>
        <v>0</v>
      </c>
      <c r="J15" s="56">
        <f t="shared" si="4"/>
        <v>0</v>
      </c>
    </row>
    <row r="16" spans="1:10">
      <c r="A16" s="37">
        <v>14</v>
      </c>
      <c r="B16" s="58" t="s">
        <v>54</v>
      </c>
      <c r="C16" s="60" t="s">
        <v>161</v>
      </c>
      <c r="D16" s="37">
        <v>1</v>
      </c>
      <c r="E16" s="54" t="str">
        <f t="shared" si="2"/>
        <v>CCDC</v>
      </c>
      <c r="F16" s="55"/>
      <c r="G16" s="43"/>
      <c r="H16" s="43"/>
      <c r="I16" s="49">
        <f t="shared" si="3"/>
        <v>0</v>
      </c>
      <c r="J16" s="56"/>
    </row>
    <row r="17" spans="1:10">
      <c r="A17" s="37">
        <v>15</v>
      </c>
      <c r="B17" s="58" t="s">
        <v>54</v>
      </c>
      <c r="C17" s="50" t="s">
        <v>323</v>
      </c>
      <c r="D17" s="37">
        <v>1</v>
      </c>
      <c r="E17" s="54" t="str">
        <f t="shared" si="2"/>
        <v>CCDC</v>
      </c>
      <c r="F17" s="55">
        <v>7168000</v>
      </c>
      <c r="G17" s="43">
        <v>1</v>
      </c>
      <c r="H17" s="43"/>
      <c r="I17" s="49">
        <f t="shared" si="3"/>
        <v>0</v>
      </c>
      <c r="J17" s="56"/>
    </row>
    <row r="18" spans="1:10">
      <c r="A18" s="37">
        <v>16</v>
      </c>
      <c r="B18" s="58" t="s">
        <v>54</v>
      </c>
      <c r="C18" s="50" t="s">
        <v>56</v>
      </c>
      <c r="D18" s="37">
        <v>1</v>
      </c>
      <c r="E18" s="54" t="str">
        <f t="shared" si="2"/>
        <v>CCDC</v>
      </c>
      <c r="F18" s="55"/>
      <c r="G18" s="43"/>
      <c r="H18" s="43"/>
      <c r="I18" s="49">
        <f t="shared" si="3"/>
        <v>0</v>
      </c>
      <c r="J18" s="56"/>
    </row>
    <row r="19" spans="1:10">
      <c r="A19" s="37">
        <v>17</v>
      </c>
      <c r="B19" s="58" t="s">
        <v>54</v>
      </c>
      <c r="C19" s="50" t="s">
        <v>161</v>
      </c>
      <c r="D19" s="37">
        <v>1</v>
      </c>
      <c r="E19" s="54" t="str">
        <f t="shared" si="2"/>
        <v>CCDC</v>
      </c>
      <c r="F19" s="55"/>
      <c r="G19" s="43"/>
      <c r="H19" s="43"/>
      <c r="I19" s="49">
        <f t="shared" si="3"/>
        <v>0</v>
      </c>
      <c r="J19" s="56"/>
    </row>
    <row r="20" spans="1:10">
      <c r="A20" s="37">
        <v>18</v>
      </c>
      <c r="B20" s="38" t="s">
        <v>324</v>
      </c>
      <c r="C20" s="50" t="s">
        <v>325</v>
      </c>
      <c r="D20" s="37">
        <v>1</v>
      </c>
      <c r="E20" s="54" t="str">
        <f t="shared" si="2"/>
        <v>CCDC</v>
      </c>
      <c r="F20" s="55">
        <v>180000</v>
      </c>
      <c r="G20" s="43">
        <v>4</v>
      </c>
      <c r="H20" s="43"/>
      <c r="I20" s="49">
        <f t="shared" si="3"/>
        <v>0</v>
      </c>
      <c r="J20" s="56">
        <f t="shared" ref="J20:J26" si="5">D20*F20*I20</f>
        <v>0</v>
      </c>
    </row>
    <row r="21" spans="1:10">
      <c r="A21" s="37">
        <v>19</v>
      </c>
      <c r="B21" s="58" t="s">
        <v>326</v>
      </c>
      <c r="C21" s="50"/>
      <c r="D21" s="37">
        <v>2</v>
      </c>
      <c r="E21" s="54" t="str">
        <f t="shared" si="2"/>
        <v>CCDC</v>
      </c>
      <c r="F21" s="55">
        <v>800000</v>
      </c>
      <c r="G21" s="43">
        <v>4</v>
      </c>
      <c r="H21" s="43"/>
      <c r="I21" s="49">
        <f t="shared" si="3"/>
        <v>0</v>
      </c>
      <c r="J21" s="56">
        <f t="shared" si="5"/>
        <v>0</v>
      </c>
    </row>
    <row r="22" spans="1:10">
      <c r="A22" s="37">
        <v>20</v>
      </c>
      <c r="B22" s="38" t="s">
        <v>327</v>
      </c>
      <c r="C22" s="50"/>
      <c r="D22" s="37">
        <v>1</v>
      </c>
      <c r="E22" s="61" t="str">
        <f t="shared" si="2"/>
        <v>CCDC</v>
      </c>
      <c r="F22" s="55"/>
      <c r="G22" s="43">
        <v>1</v>
      </c>
      <c r="H22" s="43"/>
      <c r="I22" s="49">
        <f t="shared" si="3"/>
        <v>0</v>
      </c>
      <c r="J22" s="56">
        <f t="shared" si="5"/>
        <v>0</v>
      </c>
    </row>
    <row r="23" spans="1:10">
      <c r="A23" s="37">
        <v>21</v>
      </c>
      <c r="B23" s="38" t="s">
        <v>328</v>
      </c>
      <c r="C23" s="50"/>
      <c r="D23" s="37">
        <v>1</v>
      </c>
      <c r="E23" s="61" t="str">
        <f t="shared" si="2"/>
        <v>CCDC</v>
      </c>
      <c r="F23" s="55"/>
      <c r="G23" s="43">
        <v>4</v>
      </c>
      <c r="H23" s="43"/>
      <c r="I23" s="49">
        <f t="shared" si="3"/>
        <v>0</v>
      </c>
      <c r="J23" s="56">
        <f t="shared" si="5"/>
        <v>0</v>
      </c>
    </row>
    <row r="24" spans="1:10">
      <c r="A24" s="37">
        <v>22</v>
      </c>
      <c r="B24" s="38" t="s">
        <v>329</v>
      </c>
      <c r="C24" s="50"/>
      <c r="D24" s="37">
        <v>1</v>
      </c>
      <c r="E24" s="61" t="str">
        <f t="shared" si="2"/>
        <v>CCDC</v>
      </c>
      <c r="F24" s="55">
        <v>700000</v>
      </c>
      <c r="G24" s="43">
        <v>2</v>
      </c>
      <c r="H24" s="43"/>
      <c r="I24" s="49">
        <f t="shared" si="3"/>
        <v>0</v>
      </c>
      <c r="J24" s="56">
        <f t="shared" si="5"/>
        <v>0</v>
      </c>
    </row>
    <row r="25" spans="1:10">
      <c r="A25" s="37">
        <v>23</v>
      </c>
      <c r="B25" s="38" t="s">
        <v>330</v>
      </c>
      <c r="C25" s="50"/>
      <c r="D25" s="37">
        <v>1</v>
      </c>
      <c r="E25" s="61" t="str">
        <f t="shared" si="2"/>
        <v>CCDC</v>
      </c>
      <c r="F25" s="55"/>
      <c r="G25" s="43">
        <v>4</v>
      </c>
      <c r="H25" s="43"/>
      <c r="I25" s="49">
        <f t="shared" si="3"/>
        <v>0</v>
      </c>
      <c r="J25" s="56">
        <f t="shared" si="5"/>
        <v>0</v>
      </c>
    </row>
    <row r="26" spans="1:10">
      <c r="A26" s="37">
        <v>24</v>
      </c>
      <c r="B26" s="38" t="s">
        <v>331</v>
      </c>
      <c r="C26" s="50"/>
      <c r="D26" s="37">
        <v>1</v>
      </c>
      <c r="E26" s="61" t="str">
        <f t="shared" si="2"/>
        <v>CCDC</v>
      </c>
      <c r="F26" s="55"/>
      <c r="G26" s="43">
        <v>4</v>
      </c>
      <c r="H26" s="43"/>
      <c r="I26" s="49">
        <f t="shared" si="3"/>
        <v>0</v>
      </c>
      <c r="J26" s="56">
        <f t="shared" si="5"/>
        <v>0</v>
      </c>
    </row>
    <row r="27" spans="1:10">
      <c r="A27" s="37">
        <v>25</v>
      </c>
      <c r="B27" s="38" t="s">
        <v>332</v>
      </c>
      <c r="C27" s="50"/>
      <c r="D27" s="37">
        <v>1</v>
      </c>
      <c r="E27" s="61" t="str">
        <f t="shared" si="2"/>
        <v>CCDC</v>
      </c>
      <c r="F27" s="55"/>
      <c r="G27" s="43">
        <v>4</v>
      </c>
      <c r="H27" s="43"/>
      <c r="I27" s="49">
        <f t="shared" si="3"/>
        <v>0</v>
      </c>
      <c r="J27" s="56"/>
    </row>
    <row r="28" spans="1:10">
      <c r="A28" s="37">
        <v>26</v>
      </c>
      <c r="B28" s="38" t="s">
        <v>333</v>
      </c>
      <c r="C28" s="50"/>
      <c r="D28" s="37">
        <v>1</v>
      </c>
      <c r="E28" s="40" t="s">
        <v>302</v>
      </c>
      <c r="F28" s="55"/>
      <c r="G28" s="43">
        <v>1</v>
      </c>
      <c r="H28" s="43"/>
      <c r="I28" s="49">
        <f t="shared" si="3"/>
        <v>0</v>
      </c>
      <c r="J28" s="56"/>
    </row>
    <row r="29" spans="1:10">
      <c r="A29" s="37">
        <v>27</v>
      </c>
      <c r="B29" s="38" t="s">
        <v>334</v>
      </c>
      <c r="C29" s="62"/>
      <c r="D29" s="62">
        <v>3</v>
      </c>
      <c r="E29" s="61" t="str">
        <f t="shared" si="2"/>
        <v>CCDC</v>
      </c>
      <c r="F29" s="55"/>
      <c r="G29" s="43">
        <v>4</v>
      </c>
      <c r="H29" s="43"/>
      <c r="I29" s="49">
        <f t="shared" si="3"/>
        <v>0</v>
      </c>
      <c r="J29" s="56"/>
    </row>
    <row r="30" spans="1:10">
      <c r="A30" s="37">
        <v>28</v>
      </c>
      <c r="B30" s="38" t="s">
        <v>335</v>
      </c>
      <c r="C30" s="62"/>
      <c r="D30" s="62">
        <v>18</v>
      </c>
      <c r="E30" s="61" t="str">
        <f t="shared" si="2"/>
        <v>CCDC</v>
      </c>
      <c r="F30" s="55"/>
      <c r="G30" s="43">
        <v>4</v>
      </c>
      <c r="H30" s="43"/>
      <c r="I30" s="49">
        <f t="shared" si="3"/>
        <v>0</v>
      </c>
      <c r="J30" s="56"/>
    </row>
    <row r="31" spans="1:10">
      <c r="A31" s="37">
        <v>29</v>
      </c>
      <c r="B31" s="38" t="s">
        <v>336</v>
      </c>
      <c r="C31" s="50"/>
      <c r="D31" s="37">
        <v>5</v>
      </c>
      <c r="E31" s="61" t="str">
        <f t="shared" si="2"/>
        <v>CCDC</v>
      </c>
      <c r="F31" s="55"/>
      <c r="G31" s="43">
        <v>4</v>
      </c>
      <c r="H31" s="43"/>
      <c r="I31" s="49">
        <f t="shared" si="3"/>
        <v>0</v>
      </c>
      <c r="J31" s="56">
        <f t="shared" ref="J31:J40" si="6">D31*F31*I31</f>
        <v>0</v>
      </c>
    </row>
    <row r="32" spans="1:10">
      <c r="A32" s="37">
        <v>30</v>
      </c>
      <c r="B32" s="38" t="s">
        <v>337</v>
      </c>
      <c r="C32" s="50"/>
      <c r="D32" s="37">
        <v>1</v>
      </c>
      <c r="E32" s="61" t="str">
        <f t="shared" si="2"/>
        <v>CCDC</v>
      </c>
      <c r="F32" s="55"/>
      <c r="G32" s="43"/>
      <c r="H32" s="43"/>
      <c r="I32" s="49">
        <f t="shared" si="3"/>
        <v>0</v>
      </c>
      <c r="J32" s="56">
        <f t="shared" si="6"/>
        <v>0</v>
      </c>
    </row>
    <row r="33" spans="1:10">
      <c r="A33" s="37">
        <v>31</v>
      </c>
      <c r="B33" s="63" t="s">
        <v>338</v>
      </c>
      <c r="C33" s="50"/>
      <c r="D33" s="37">
        <v>1</v>
      </c>
      <c r="E33" s="61" t="str">
        <f t="shared" si="2"/>
        <v>CCDC</v>
      </c>
      <c r="F33" s="55"/>
      <c r="G33" s="43">
        <v>4</v>
      </c>
      <c r="H33" s="43"/>
      <c r="I33" s="49">
        <f t="shared" si="3"/>
        <v>0</v>
      </c>
      <c r="J33" s="56">
        <f t="shared" si="6"/>
        <v>0</v>
      </c>
    </row>
    <row r="34" spans="1:10">
      <c r="A34" s="37">
        <v>32</v>
      </c>
      <c r="B34" s="38" t="s">
        <v>339</v>
      </c>
      <c r="C34" s="50"/>
      <c r="D34" s="37">
        <v>15</v>
      </c>
      <c r="E34" s="61" t="str">
        <f t="shared" si="2"/>
        <v>CCDC</v>
      </c>
      <c r="F34" s="55"/>
      <c r="G34" s="43">
        <v>4</v>
      </c>
      <c r="H34" s="43"/>
      <c r="I34" s="49">
        <f t="shared" si="3"/>
        <v>0</v>
      </c>
      <c r="J34" s="56">
        <f t="shared" si="6"/>
        <v>0</v>
      </c>
    </row>
    <row r="35" spans="1:10">
      <c r="A35" s="37">
        <v>33</v>
      </c>
      <c r="B35" s="38" t="s">
        <v>340</v>
      </c>
      <c r="C35" s="50"/>
      <c r="D35" s="37">
        <v>4</v>
      </c>
      <c r="E35" s="61" t="str">
        <f t="shared" si="2"/>
        <v>CCDC</v>
      </c>
      <c r="F35" s="55"/>
      <c r="G35" s="43">
        <v>2</v>
      </c>
      <c r="H35" s="43"/>
      <c r="I35" s="49">
        <f t="shared" si="3"/>
        <v>0</v>
      </c>
      <c r="J35" s="56">
        <f t="shared" si="6"/>
        <v>0</v>
      </c>
    </row>
    <row r="36" spans="1:10">
      <c r="A36" s="37">
        <v>34</v>
      </c>
      <c r="B36" s="38" t="s">
        <v>341</v>
      </c>
      <c r="C36" s="50"/>
      <c r="D36" s="37">
        <v>3</v>
      </c>
      <c r="E36" s="61" t="str">
        <f t="shared" si="2"/>
        <v>CCDC</v>
      </c>
      <c r="F36" s="55"/>
      <c r="G36" s="43">
        <v>4</v>
      </c>
      <c r="H36" s="43"/>
      <c r="I36" s="49">
        <f t="shared" si="3"/>
        <v>0</v>
      </c>
      <c r="J36" s="56">
        <f t="shared" si="6"/>
        <v>0</v>
      </c>
    </row>
    <row r="37" spans="1:10">
      <c r="A37" s="37">
        <v>35</v>
      </c>
      <c r="B37" s="38" t="s">
        <v>342</v>
      </c>
      <c r="C37" s="50"/>
      <c r="D37" s="37">
        <v>1</v>
      </c>
      <c r="E37" s="61" t="str">
        <f t="shared" si="2"/>
        <v>CCDC</v>
      </c>
      <c r="F37" s="55"/>
      <c r="G37" s="43">
        <v>3</v>
      </c>
      <c r="H37" s="43"/>
      <c r="I37" s="49">
        <f t="shared" si="3"/>
        <v>0</v>
      </c>
      <c r="J37" s="56">
        <f t="shared" si="6"/>
        <v>0</v>
      </c>
    </row>
    <row r="38" spans="1:10">
      <c r="A38" s="37">
        <v>36</v>
      </c>
      <c r="B38" s="38" t="s">
        <v>343</v>
      </c>
      <c r="C38" s="50" t="s">
        <v>66</v>
      </c>
      <c r="D38" s="37">
        <v>1</v>
      </c>
      <c r="E38" s="61" t="str">
        <f t="shared" si="2"/>
        <v>CCDC</v>
      </c>
      <c r="F38" s="55">
        <v>300000</v>
      </c>
      <c r="G38" s="43">
        <v>4</v>
      </c>
      <c r="H38" s="43"/>
      <c r="I38" s="49">
        <f t="shared" si="3"/>
        <v>0</v>
      </c>
      <c r="J38" s="56">
        <f t="shared" si="6"/>
        <v>0</v>
      </c>
    </row>
    <row r="39" spans="1:10">
      <c r="A39" s="37">
        <v>37</v>
      </c>
      <c r="B39" s="38" t="s">
        <v>344</v>
      </c>
      <c r="C39" s="50" t="s">
        <v>68</v>
      </c>
      <c r="D39" s="37">
        <v>1</v>
      </c>
      <c r="E39" s="61" t="str">
        <f t="shared" si="2"/>
        <v>CCDC</v>
      </c>
      <c r="F39" s="55">
        <v>1500000</v>
      </c>
      <c r="G39" s="43">
        <v>4</v>
      </c>
      <c r="H39" s="43"/>
      <c r="I39" s="49">
        <f t="shared" si="3"/>
        <v>0</v>
      </c>
      <c r="J39" s="56">
        <f t="shared" si="6"/>
        <v>0</v>
      </c>
    </row>
    <row r="40" spans="1:10">
      <c r="A40" s="37">
        <v>38</v>
      </c>
      <c r="B40" s="38" t="s">
        <v>345</v>
      </c>
      <c r="C40" s="50"/>
      <c r="D40" s="37">
        <v>1</v>
      </c>
      <c r="E40" s="61" t="str">
        <f t="shared" si="2"/>
        <v>CCDC</v>
      </c>
      <c r="F40" s="55"/>
      <c r="G40" s="43">
        <v>2</v>
      </c>
      <c r="H40" s="43"/>
      <c r="I40" s="49">
        <f t="shared" si="3"/>
        <v>0</v>
      </c>
      <c r="J40" s="56">
        <f t="shared" si="6"/>
        <v>0</v>
      </c>
    </row>
    <row r="41" spans="1:10">
      <c r="A41" s="37">
        <v>39</v>
      </c>
      <c r="B41" s="38" t="s">
        <v>346</v>
      </c>
      <c r="C41" s="50"/>
      <c r="D41" s="37">
        <v>1</v>
      </c>
      <c r="E41" s="61"/>
      <c r="F41" s="55">
        <v>30000</v>
      </c>
      <c r="G41" s="43"/>
      <c r="H41" s="43"/>
      <c r="I41" s="49"/>
      <c r="J41" s="56"/>
    </row>
    <row r="42" spans="1:10">
      <c r="A42" s="37">
        <v>40</v>
      </c>
      <c r="B42" s="38" t="s">
        <v>347</v>
      </c>
      <c r="C42" s="50"/>
      <c r="D42" s="37">
        <v>1</v>
      </c>
      <c r="E42" s="61" t="str">
        <f>IF(F42&gt;=30000000,"TSCĐ","CCDC")</f>
        <v>CCDC</v>
      </c>
      <c r="F42" s="55">
        <v>80000</v>
      </c>
      <c r="G42" s="43">
        <v>2</v>
      </c>
      <c r="H42" s="43"/>
      <c r="I42" s="49">
        <f>IF(H42&lt;=G42,0,(H42-G42)/H42)</f>
        <v>0</v>
      </c>
      <c r="J42" s="56">
        <f>D42*F42*I42</f>
        <v>0</v>
      </c>
    </row>
    <row r="43" spans="1:10">
      <c r="A43" s="37">
        <v>41</v>
      </c>
      <c r="B43" s="38" t="s">
        <v>348</v>
      </c>
      <c r="C43" s="50"/>
      <c r="D43" s="37">
        <v>2</v>
      </c>
      <c r="E43" s="61" t="str">
        <f>IF(F43&gt;=30000000,"TSCĐ","CCDC")</f>
        <v>CCDC</v>
      </c>
      <c r="F43" s="55">
        <v>50000</v>
      </c>
      <c r="G43" s="43">
        <v>4</v>
      </c>
      <c r="H43" s="43"/>
      <c r="I43" s="49">
        <f>IF(H43&lt;=G43,0,(H43-G43)/H43)</f>
        <v>0</v>
      </c>
      <c r="J43" s="56">
        <f>D43*F43*I43</f>
        <v>0</v>
      </c>
    </row>
    <row r="44" spans="1:10">
      <c r="A44" s="37">
        <v>42</v>
      </c>
      <c r="B44" s="38" t="s">
        <v>349</v>
      </c>
      <c r="C44" s="50"/>
      <c r="D44" s="37">
        <v>2</v>
      </c>
      <c r="E44" s="61" t="str">
        <f>IF(F44&gt;=30000000,"TSCĐ","CCDC")</f>
        <v>CCDC</v>
      </c>
      <c r="F44" s="55"/>
      <c r="G44" s="43">
        <v>4</v>
      </c>
      <c r="H44" s="43"/>
      <c r="I44" s="49">
        <f>IF(H44&lt;=G44,0,(H44-G44)/H44)</f>
        <v>0</v>
      </c>
      <c r="J44" s="56">
        <f>D44*F44*I44</f>
        <v>0</v>
      </c>
    </row>
    <row r="45" spans="1:10">
      <c r="A45" s="37">
        <v>43</v>
      </c>
      <c r="B45" s="63" t="s">
        <v>350</v>
      </c>
      <c r="C45" s="50"/>
      <c r="D45" s="37">
        <v>1</v>
      </c>
      <c r="E45" s="61" t="str">
        <f>IF(F45&gt;=30000000,"TSCĐ","CCDC")</f>
        <v>CCDC</v>
      </c>
      <c r="F45" s="55"/>
      <c r="G45" s="43">
        <v>4</v>
      </c>
      <c r="H45" s="43"/>
      <c r="I45" s="49">
        <f>IF(H45&lt;=G45,0,(H45-G45)/H45)</f>
        <v>0</v>
      </c>
      <c r="J45" s="56">
        <f>D45*F45*I45</f>
        <v>0</v>
      </c>
    </row>
    <row r="46" spans="1:10">
      <c r="A46" s="37">
        <v>44</v>
      </c>
      <c r="B46" s="38" t="s">
        <v>351</v>
      </c>
      <c r="C46" s="50"/>
      <c r="D46" s="37">
        <v>1</v>
      </c>
      <c r="E46" s="61"/>
      <c r="F46" s="55"/>
      <c r="G46" s="43">
        <v>4</v>
      </c>
      <c r="H46" s="43"/>
      <c r="I46" s="49"/>
      <c r="J46" s="56"/>
    </row>
    <row r="47" spans="1:10">
      <c r="A47" s="37">
        <v>45</v>
      </c>
      <c r="B47" s="38" t="s">
        <v>352</v>
      </c>
      <c r="C47" s="50"/>
      <c r="D47" s="37">
        <v>1</v>
      </c>
      <c r="E47" s="61" t="str">
        <f t="shared" ref="E47:E56" si="7">IF(F47&gt;=30000000,"TSCĐ","CCDC")</f>
        <v>CCDC</v>
      </c>
      <c r="F47" s="55"/>
      <c r="G47" s="43">
        <v>4</v>
      </c>
      <c r="H47" s="43"/>
      <c r="I47" s="49">
        <f t="shared" ref="I47:I56" si="8">IF(H47&lt;=G47,0,(H47-G47)/H47)</f>
        <v>0</v>
      </c>
      <c r="J47" s="56">
        <f t="shared" ref="J47:J56" si="9">D47*F47*I47</f>
        <v>0</v>
      </c>
    </row>
    <row r="48" spans="1:10" ht="25.5">
      <c r="A48" s="37">
        <v>46</v>
      </c>
      <c r="B48" s="38" t="s">
        <v>353</v>
      </c>
      <c r="C48" s="50"/>
      <c r="D48" s="37">
        <v>5</v>
      </c>
      <c r="E48" s="61" t="str">
        <f t="shared" si="7"/>
        <v>CCDC</v>
      </c>
      <c r="F48" s="55">
        <v>50000</v>
      </c>
      <c r="G48" s="42" t="s">
        <v>354</v>
      </c>
      <c r="H48" s="43"/>
      <c r="I48" s="49">
        <f t="shared" si="8"/>
        <v>0</v>
      </c>
      <c r="J48" s="56">
        <f t="shared" si="9"/>
        <v>0</v>
      </c>
    </row>
    <row r="49" spans="1:10">
      <c r="A49" s="37">
        <v>47</v>
      </c>
      <c r="B49" s="38" t="s">
        <v>355</v>
      </c>
      <c r="C49" s="50"/>
      <c r="D49" s="37">
        <v>2</v>
      </c>
      <c r="E49" s="61" t="str">
        <f t="shared" si="7"/>
        <v>CCDC</v>
      </c>
      <c r="F49" s="55"/>
      <c r="G49" s="43">
        <v>4</v>
      </c>
      <c r="H49" s="43"/>
      <c r="I49" s="49">
        <f t="shared" si="8"/>
        <v>0</v>
      </c>
      <c r="J49" s="56">
        <f t="shared" si="9"/>
        <v>0</v>
      </c>
    </row>
    <row r="50" spans="1:10">
      <c r="A50" s="37">
        <v>48</v>
      </c>
      <c r="B50" s="38" t="s">
        <v>356</v>
      </c>
      <c r="C50" s="50"/>
      <c r="D50" s="37">
        <v>2</v>
      </c>
      <c r="E50" s="61" t="str">
        <f t="shared" si="7"/>
        <v>CCDC</v>
      </c>
      <c r="F50" s="55"/>
      <c r="G50" s="43">
        <v>4</v>
      </c>
      <c r="H50" s="43"/>
      <c r="I50" s="49">
        <f t="shared" si="8"/>
        <v>0</v>
      </c>
      <c r="J50" s="56">
        <f t="shared" si="9"/>
        <v>0</v>
      </c>
    </row>
    <row r="51" spans="1:10">
      <c r="A51" s="37">
        <v>49</v>
      </c>
      <c r="B51" s="38" t="s">
        <v>357</v>
      </c>
      <c r="C51" s="50"/>
      <c r="D51" s="37">
        <v>1</v>
      </c>
      <c r="E51" s="61" t="str">
        <f t="shared" si="7"/>
        <v>CCDC</v>
      </c>
      <c r="F51" s="55"/>
      <c r="G51" s="43">
        <v>3</v>
      </c>
      <c r="H51" s="43"/>
      <c r="I51" s="49">
        <f t="shared" si="8"/>
        <v>0</v>
      </c>
      <c r="J51" s="56">
        <f t="shared" si="9"/>
        <v>0</v>
      </c>
    </row>
    <row r="52" spans="1:10">
      <c r="A52" s="37">
        <v>50</v>
      </c>
      <c r="B52" s="38" t="s">
        <v>358</v>
      </c>
      <c r="C52" s="50"/>
      <c r="D52" s="37">
        <v>7</v>
      </c>
      <c r="E52" s="61" t="str">
        <f t="shared" si="7"/>
        <v>CCDC</v>
      </c>
      <c r="F52" s="55"/>
      <c r="G52" s="43">
        <v>4</v>
      </c>
      <c r="H52" s="43"/>
      <c r="I52" s="49">
        <f t="shared" si="8"/>
        <v>0</v>
      </c>
      <c r="J52" s="56">
        <f t="shared" si="9"/>
        <v>0</v>
      </c>
    </row>
    <row r="53" spans="1:10">
      <c r="A53" s="37">
        <v>51</v>
      </c>
      <c r="B53" s="38" t="s">
        <v>359</v>
      </c>
      <c r="C53" s="50"/>
      <c r="D53" s="37">
        <v>15</v>
      </c>
      <c r="E53" s="61" t="str">
        <f t="shared" si="7"/>
        <v>CCDC</v>
      </c>
      <c r="F53" s="55">
        <v>50000</v>
      </c>
      <c r="G53" s="43">
        <v>4</v>
      </c>
      <c r="H53" s="43"/>
      <c r="I53" s="49">
        <f t="shared" si="8"/>
        <v>0</v>
      </c>
      <c r="J53" s="56">
        <f t="shared" si="9"/>
        <v>0</v>
      </c>
    </row>
    <row r="54" spans="1:10">
      <c r="A54" s="37">
        <v>52</v>
      </c>
      <c r="B54" s="58" t="s">
        <v>61</v>
      </c>
      <c r="C54" s="50"/>
      <c r="D54" s="37">
        <v>1</v>
      </c>
      <c r="E54" s="61" t="str">
        <f t="shared" si="7"/>
        <v>CCDC</v>
      </c>
      <c r="F54" s="55">
        <v>35000</v>
      </c>
      <c r="G54" s="42">
        <v>1</v>
      </c>
      <c r="H54" s="43"/>
      <c r="I54" s="49">
        <f t="shared" si="8"/>
        <v>0</v>
      </c>
      <c r="J54" s="56">
        <f t="shared" si="9"/>
        <v>0</v>
      </c>
    </row>
    <row r="55" spans="1:10">
      <c r="A55" s="37">
        <v>53</v>
      </c>
      <c r="B55" s="58" t="s">
        <v>360</v>
      </c>
      <c r="C55" s="50"/>
      <c r="D55" s="37">
        <v>150</v>
      </c>
      <c r="E55" s="61" t="str">
        <f t="shared" si="7"/>
        <v>CCDC</v>
      </c>
      <c r="F55" s="55"/>
      <c r="G55" s="43">
        <v>4</v>
      </c>
      <c r="H55" s="43"/>
      <c r="I55" s="49">
        <f t="shared" si="8"/>
        <v>0</v>
      </c>
      <c r="J55" s="56">
        <f t="shared" si="9"/>
        <v>0</v>
      </c>
    </row>
    <row r="56" spans="1:10">
      <c r="A56" s="37">
        <v>54</v>
      </c>
      <c r="B56" s="58" t="s">
        <v>361</v>
      </c>
      <c r="C56" s="50"/>
      <c r="D56" s="37">
        <v>1</v>
      </c>
      <c r="E56" s="61" t="str">
        <f t="shared" si="7"/>
        <v>CCDC</v>
      </c>
      <c r="F56" s="55"/>
      <c r="G56" s="43">
        <v>3</v>
      </c>
      <c r="H56" s="43"/>
      <c r="I56" s="49">
        <f t="shared" si="8"/>
        <v>0</v>
      </c>
      <c r="J56" s="56">
        <f t="shared" si="9"/>
        <v>0</v>
      </c>
    </row>
    <row r="57" spans="1:10">
      <c r="A57" s="37">
        <v>55</v>
      </c>
      <c r="B57" s="58" t="s">
        <v>362</v>
      </c>
      <c r="C57" s="50"/>
      <c r="D57" s="37">
        <v>1</v>
      </c>
      <c r="E57" s="61"/>
      <c r="F57" s="55"/>
      <c r="G57" s="43">
        <v>4</v>
      </c>
      <c r="H57" s="43"/>
      <c r="I57" s="49"/>
      <c r="J57" s="56"/>
    </row>
    <row r="58" spans="1:10">
      <c r="A58" s="37">
        <v>56</v>
      </c>
      <c r="B58" s="58" t="s">
        <v>363</v>
      </c>
      <c r="C58" s="50"/>
      <c r="D58" s="37">
        <v>1</v>
      </c>
      <c r="E58" s="61" t="str">
        <f>IF(F58&gt;=30000000,"TSCĐ","CCDC")</f>
        <v>CCDC</v>
      </c>
      <c r="F58" s="55">
        <v>25000</v>
      </c>
      <c r="G58" s="43" t="s">
        <v>364</v>
      </c>
      <c r="H58" s="43"/>
      <c r="I58" s="49">
        <f>IF(H58&lt;=G58,0,(H58-G58)/H58)</f>
        <v>0</v>
      </c>
      <c r="J58" s="56">
        <f>D58*F58*I58</f>
        <v>0</v>
      </c>
    </row>
    <row r="59" spans="1:10">
      <c r="A59" s="37">
        <v>57</v>
      </c>
      <c r="B59" s="58" t="s">
        <v>365</v>
      </c>
      <c r="C59" s="50"/>
      <c r="D59" s="37">
        <v>1</v>
      </c>
      <c r="E59" s="61" t="str">
        <f>IF(F59&gt;=30000000,"TSCĐ","CCDC")</f>
        <v>CCDC</v>
      </c>
      <c r="F59" s="55"/>
      <c r="G59" s="43">
        <v>1</v>
      </c>
      <c r="H59" s="43"/>
      <c r="I59" s="49">
        <f>IF(H59&lt;=G59,0,(H59-G59)/H59)</f>
        <v>0</v>
      </c>
      <c r="J59" s="56">
        <f>D59*F59*I59</f>
        <v>0</v>
      </c>
    </row>
    <row r="60" spans="1:10">
      <c r="A60" s="37">
        <v>58</v>
      </c>
      <c r="B60" s="58" t="s">
        <v>366</v>
      </c>
      <c r="C60" s="50"/>
      <c r="D60" s="37">
        <v>4</v>
      </c>
      <c r="E60" s="61" t="str">
        <f>IF(F60&gt;=30000000,"TSCĐ","CCDC")</f>
        <v>CCDC</v>
      </c>
      <c r="F60" s="55">
        <v>100000</v>
      </c>
      <c r="G60" s="43">
        <v>4</v>
      </c>
      <c r="H60" s="43"/>
      <c r="I60" s="49">
        <f>IF(H60&lt;=G60,0,(H60-G60)/H60)</f>
        <v>0</v>
      </c>
      <c r="J60" s="56">
        <f>D60*F60*I60</f>
        <v>0</v>
      </c>
    </row>
    <row r="61" spans="1:10">
      <c r="A61" s="37">
        <v>59</v>
      </c>
      <c r="B61" s="58" t="s">
        <v>367</v>
      </c>
      <c r="C61" s="50"/>
      <c r="D61" s="37">
        <v>2</v>
      </c>
      <c r="E61" s="61" t="str">
        <f>IF(F61&gt;=30000000,"TSCĐ","CCDC")</f>
        <v>CCDC</v>
      </c>
      <c r="F61" s="55">
        <v>50000</v>
      </c>
      <c r="G61" s="43" t="s">
        <v>368</v>
      </c>
      <c r="H61" s="43"/>
      <c r="I61" s="49">
        <f>IF(H61&lt;=G61,0,(H61-G61)/H61)</f>
        <v>0</v>
      </c>
      <c r="J61" s="56">
        <f>D61*F61*I61</f>
        <v>0</v>
      </c>
    </row>
    <row r="62" spans="1:10">
      <c r="A62" s="64" t="s">
        <v>144</v>
      </c>
      <c r="B62" s="64"/>
      <c r="C62" s="65"/>
      <c r="D62" s="64"/>
      <c r="E62" s="64"/>
      <c r="F62" s="64"/>
      <c r="G62" s="65"/>
      <c r="H62" s="64"/>
      <c r="I62" s="64"/>
      <c r="J62" s="66">
        <f>SUM(J3:J61)</f>
        <v>0</v>
      </c>
    </row>
    <row r="63" spans="1:10">
      <c r="A63" s="67" t="s">
        <v>96</v>
      </c>
      <c r="B63" s="67"/>
      <c r="C63" s="68"/>
      <c r="D63" s="67"/>
      <c r="E63" s="67"/>
      <c r="F63" s="67"/>
      <c r="G63" s="68"/>
      <c r="H63" s="67"/>
      <c r="I63" s="67"/>
      <c r="J63" s="69">
        <f>SUMIFS(J3:J61,E3:E61,"TSCĐ")</f>
        <v>0</v>
      </c>
    </row>
    <row r="64" spans="1:10">
      <c r="A64" s="67" t="s">
        <v>97</v>
      </c>
      <c r="B64" s="67"/>
      <c r="C64" s="68"/>
      <c r="D64" s="67"/>
      <c r="E64" s="67"/>
      <c r="F64" s="67"/>
      <c r="G64" s="68"/>
      <c r="H64" s="67"/>
      <c r="I64" s="67"/>
      <c r="J64" s="69">
        <f>SUMIFS(J3:J61,E3:E61,"CCDC")</f>
        <v>0</v>
      </c>
    </row>
  </sheetData>
  <mergeCells count="4">
    <mergeCell ref="A1:J1"/>
    <mergeCell ref="A62:I62"/>
    <mergeCell ref="A63:I63"/>
    <mergeCell ref="A64:I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XƯỞNG</vt:lpstr>
      <vt:lpstr>VĂN PHÒNG</vt:lpstr>
      <vt:lpstr>MARKETING</vt:lpstr>
      <vt:lpstr>MỸ THO</vt:lpstr>
      <vt:lpstr>CẦN THƠ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2026-08-26T00:55:40Z</dcterms:created>
  <dcterms:modified xsi:type="dcterms:W3CDTF">2026-09-07T01:34:25Z</dcterms:modified>
  <dc:language>en-US</dc:language>
</cp:coreProperties>
</file>